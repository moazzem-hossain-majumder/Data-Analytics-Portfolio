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D:\Data Analyst Portfolio\Excel_Projects\"/>
    </mc:Choice>
  </mc:AlternateContent>
  <xr:revisionPtr revIDLastSave="0" documentId="13_ncr:1_{A3DC4CCF-3E9E-4030-B0B4-EAB252B20FB3}" xr6:coauthVersionLast="36" xr6:coauthVersionMax="36" xr10:uidLastSave="{00000000-0000-0000-0000-000000000000}"/>
  <bookViews>
    <workbookView xWindow="0" yWindow="0" windowWidth="28800" windowHeight="12105"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Occupation">#N/A</definedName>
    <definedName name="Slicer_Region">#N/A</definedName>
  </definedNames>
  <calcPr calcId="181029"/>
  <pivotCaches>
    <pivotCache cacheId="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3" i="4" l="1"/>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3" i="4"/>
  <c r="M4" i="4"/>
  <c r="M5" i="4"/>
  <c r="M6" i="4"/>
  <c r="M7" i="4"/>
  <c r="M8" i="4"/>
  <c r="M9" i="4"/>
  <c r="M10" i="4"/>
  <c r="M11" i="4"/>
  <c r="M12" i="4"/>
  <c r="M2" i="4"/>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<sst xmlns="http://schemas.openxmlformats.org/spreadsheetml/2006/main" count="16482" uniqueCount="51">
  <si>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</si>
  <si>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</si>
  <si>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</si>
  <si>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</si>
  <si>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</si>
  <si>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</si>
  <si>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</si>
  <si>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</si>
  <si>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</si>
  <si>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</si>
  <si>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</si>
  <si>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</si>
  <si>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</si>
  <si>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</si>
  <si>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</si>
  <si>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</si>
  <si>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</si>
  <si>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</si>
  <si>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</si>
  <si>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</si>
  <si>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</si>
  <si>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</si>
  <si>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</si>
  <si>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</si>
  <si>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</si>
  <si>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</si>
  <si>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</si>
  <si>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</si>
  <si>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</si>
  <si>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</si>
  <si>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</si>
  <si>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</si>
  <si>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</si>
  <si>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</si>
  <si>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</si>
  <si>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</si>
  <si>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</si>
  <si>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</si>
  <si>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</si>
  <si>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</si>
  <si>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</si>
  <si>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</si>
  <si>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</si>
  <si>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</si>
  <si>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</si>
  <si>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</si>
  <si>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</si>
  <si>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</si>
  <si>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</si>
  <si>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</si>
  <si>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SAKES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</si>
</sst>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2"/>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Final.xlsx]Pivot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CB18-45D6-B63B-011368E7292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1-CB18-45D6-B63B-011368E7292C}"/>
            </c:ext>
          </c:extLst>
        </c:ser>
        <c:dLbls>
          <c:showLegendKey val="0"/>
          <c:showVal val="0"/>
          <c:showCatName val="0"/>
          <c:showSerName val="0"/>
          <c:showPercent val="0"/>
          <c:showBubbleSize val="0"/>
        </c:dLbls>
        <c:gapWidth val="219"/>
        <c:overlap val="-27"/>
        <c:axId val="641335336"/>
        <c:axId val="641334680"/>
      </c:barChart>
      <c:catAx>
        <c:axId val="641335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34680"/>
        <c:crosses val="autoZero"/>
        <c:auto val="1"/>
        <c:lblAlgn val="ctr"/>
        <c:lblOffset val="100"/>
        <c:noMultiLvlLbl val="0"/>
      </c:catAx>
      <c:valAx>
        <c:axId val="641334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35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Final.xlsx]Pivot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8.2594925634295713E-2"/>
          <c:y val="0.14249781277340332"/>
          <c:w val="0.67018285214348206"/>
          <c:h val="0.50950277048702242"/>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1465-4972-8EB5-BC329B8F4891}"/>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1465-4972-8EB5-BC329B8F4891}"/>
            </c:ext>
          </c:extLst>
        </c:ser>
        <c:dLbls>
          <c:showLegendKey val="0"/>
          <c:showVal val="0"/>
          <c:showCatName val="0"/>
          <c:showSerName val="0"/>
          <c:showPercent val="0"/>
          <c:showBubbleSize val="0"/>
        </c:dLbls>
        <c:smooth val="0"/>
        <c:axId val="648571048"/>
        <c:axId val="648566128"/>
      </c:lineChart>
      <c:catAx>
        <c:axId val="648571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566128"/>
        <c:crosses val="autoZero"/>
        <c:auto val="1"/>
        <c:lblAlgn val="ctr"/>
        <c:lblOffset val="100"/>
        <c:noMultiLvlLbl val="0"/>
      </c:catAx>
      <c:valAx>
        <c:axId val="64856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571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Final.xlsx]Pivot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cked"/>
        <c:varyColors val="0"/>
        <c:ser>
          <c:idx val="0"/>
          <c:order val="0"/>
          <c:tx>
            <c:strRef>
              <c:f>'Pivot Table'!$B$43:$B$44</c:f>
              <c:strCache>
                <c:ptCount val="1"/>
                <c:pt idx="0">
                  <c:v>No</c:v>
                </c:pt>
              </c:strCache>
            </c:strRef>
          </c:tx>
          <c:spPr>
            <a:ln w="28575" cap="rnd">
              <a:solidFill>
                <a:schemeClr val="accent1"/>
              </a:solidFill>
              <a:round/>
            </a:ln>
            <a:effectLst/>
          </c:spPr>
          <c:marker>
            <c:symbol val="none"/>
          </c:marker>
          <c:cat>
            <c:strRef>
              <c:f>'Pivot Table'!$A$45:$A$48</c:f>
              <c:strCache>
                <c:ptCount val="3"/>
                <c:pt idx="0">
                  <c:v>Adolescent</c:v>
                </c:pt>
                <c:pt idx="1">
                  <c:v>Middle Age</c:v>
                </c:pt>
                <c:pt idx="2">
                  <c:v>Old</c:v>
                </c:pt>
              </c:strCache>
            </c:strRef>
          </c:cat>
          <c:val>
            <c:numRef>
              <c:f>'Pivot Table'!$B$45:$B$48</c:f>
              <c:numCache>
                <c:formatCode>General</c:formatCode>
                <c:ptCount val="3"/>
                <c:pt idx="0">
                  <c:v>54</c:v>
                </c:pt>
                <c:pt idx="1">
                  <c:v>370</c:v>
                </c:pt>
                <c:pt idx="2">
                  <c:v>107</c:v>
                </c:pt>
              </c:numCache>
            </c:numRef>
          </c:val>
          <c:smooth val="0"/>
          <c:extLst>
            <c:ext xmlns:c16="http://schemas.microsoft.com/office/drawing/2014/chart" uri="{C3380CC4-5D6E-409C-BE32-E72D297353CC}">
              <c16:uniqueId val="{00000000-F6D4-44DF-8EED-4509D0E29781}"/>
            </c:ext>
          </c:extLst>
        </c:ser>
        <c:ser>
          <c:idx val="1"/>
          <c:order val="1"/>
          <c:tx>
            <c:strRef>
              <c:f>'Pivot Table'!$C$43:$C$44</c:f>
              <c:strCache>
                <c:ptCount val="1"/>
                <c:pt idx="0">
                  <c:v>Yes</c:v>
                </c:pt>
              </c:strCache>
            </c:strRef>
          </c:tx>
          <c:spPr>
            <a:ln w="28575" cap="rnd">
              <a:solidFill>
                <a:schemeClr val="accent2"/>
              </a:solidFill>
              <a:round/>
            </a:ln>
            <a:effectLst/>
          </c:spPr>
          <c:marker>
            <c:symbol val="none"/>
          </c:marker>
          <c:cat>
            <c:strRef>
              <c:f>'Pivot Table'!$A$45:$A$48</c:f>
              <c:strCache>
                <c:ptCount val="3"/>
                <c:pt idx="0">
                  <c:v>Adolescent</c:v>
                </c:pt>
                <c:pt idx="1">
                  <c:v>Middle Age</c:v>
                </c:pt>
                <c:pt idx="2">
                  <c:v>Old</c:v>
                </c:pt>
              </c:strCache>
            </c:strRef>
          </c:cat>
          <c:val>
            <c:numRef>
              <c:f>'Pivot Table'!$C$45:$C$48</c:f>
              <c:numCache>
                <c:formatCode>General</c:formatCode>
                <c:ptCount val="3"/>
                <c:pt idx="0">
                  <c:v>36</c:v>
                </c:pt>
                <c:pt idx="1">
                  <c:v>374</c:v>
                </c:pt>
                <c:pt idx="2">
                  <c:v>85</c:v>
                </c:pt>
              </c:numCache>
            </c:numRef>
          </c:val>
          <c:smooth val="0"/>
          <c:extLst>
            <c:ext xmlns:c16="http://schemas.microsoft.com/office/drawing/2014/chart" uri="{C3380CC4-5D6E-409C-BE32-E72D297353CC}">
              <c16:uniqueId val="{00000001-F6D4-44DF-8EED-4509D0E29781}"/>
            </c:ext>
          </c:extLst>
        </c:ser>
        <c:dLbls>
          <c:showLegendKey val="0"/>
          <c:showVal val="0"/>
          <c:showCatName val="0"/>
          <c:showSerName val="0"/>
          <c:showPercent val="0"/>
          <c:showBubbleSize val="0"/>
        </c:dLbls>
        <c:smooth val="0"/>
        <c:axId val="645996600"/>
        <c:axId val="645995288"/>
      </c:lineChart>
      <c:catAx>
        <c:axId val="645996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95288"/>
        <c:crosses val="autoZero"/>
        <c:auto val="1"/>
        <c:lblAlgn val="ctr"/>
        <c:lblOffset val="100"/>
        <c:noMultiLvlLbl val="0"/>
      </c:catAx>
      <c:valAx>
        <c:axId val="64599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96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Final.xlsx]Pivot Table!PivotTable4</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cked"/>
        <c:varyColors val="0"/>
        <c:ser>
          <c:idx val="0"/>
          <c:order val="0"/>
          <c:tx>
            <c:strRef>
              <c:f>'Pivot Table'!$B$63:$B$64</c:f>
              <c:strCache>
                <c:ptCount val="1"/>
                <c:pt idx="0">
                  <c:v>No</c:v>
                </c:pt>
              </c:strCache>
            </c:strRef>
          </c:tx>
          <c:spPr>
            <a:ln w="28575" cap="rnd">
              <a:solidFill>
                <a:schemeClr val="accent1"/>
              </a:solidFill>
              <a:round/>
            </a:ln>
            <a:effectLst/>
          </c:spPr>
          <c:marker>
            <c:symbol val="none"/>
          </c:marker>
          <c:cat>
            <c:strRef>
              <c:f>'Pivot Table'!$A$65:$A$118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Table'!$B$65:$B$118</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B518-48EE-A11D-DF55BA4D8A9B}"/>
            </c:ext>
          </c:extLst>
        </c:ser>
        <c:ser>
          <c:idx val="1"/>
          <c:order val="1"/>
          <c:tx>
            <c:strRef>
              <c:f>'Pivot Table'!$C$63:$C$64</c:f>
              <c:strCache>
                <c:ptCount val="1"/>
                <c:pt idx="0">
                  <c:v>Yes</c:v>
                </c:pt>
              </c:strCache>
            </c:strRef>
          </c:tx>
          <c:spPr>
            <a:ln w="28575" cap="rnd">
              <a:solidFill>
                <a:schemeClr val="accent2"/>
              </a:solidFill>
              <a:round/>
            </a:ln>
            <a:effectLst/>
          </c:spPr>
          <c:marker>
            <c:symbol val="none"/>
          </c:marker>
          <c:cat>
            <c:strRef>
              <c:f>'Pivot Table'!$A$65:$A$118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Table'!$C$65:$C$118</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B518-48EE-A11D-DF55BA4D8A9B}"/>
            </c:ext>
          </c:extLst>
        </c:ser>
        <c:dLbls>
          <c:showLegendKey val="0"/>
          <c:showVal val="0"/>
          <c:showCatName val="0"/>
          <c:showSerName val="0"/>
          <c:showPercent val="0"/>
          <c:showBubbleSize val="0"/>
        </c:dLbls>
        <c:smooth val="0"/>
        <c:axId val="645992992"/>
        <c:axId val="645989384"/>
      </c:lineChart>
      <c:catAx>
        <c:axId val="64599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89384"/>
        <c:crosses val="autoZero"/>
        <c:auto val="1"/>
        <c:lblAlgn val="ctr"/>
        <c:lblOffset val="100"/>
        <c:noMultiLvlLbl val="0"/>
      </c:catAx>
      <c:valAx>
        <c:axId val="645989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9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Final.xlsx]Pivot Table!PivotTable1</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Table'!$B$1:$B$2</c:f>
              <c:strCache>
                <c:ptCount val="1"/>
                <c:pt idx="0">
                  <c:v>No</c:v>
                </c:pt>
              </c:strCache>
            </c:strRef>
          </c:tx>
          <c:spPr>
            <a:ln w="28575" cap="rnd">
              <a:solidFill>
                <a:schemeClr val="accent1"/>
              </a:solidFill>
              <a:round/>
            </a:ln>
            <a:effectLst/>
          </c:spPr>
          <c:marker>
            <c:symbol val="none"/>
          </c:marker>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smooth val="0"/>
          <c:extLst>
            <c:ext xmlns:c16="http://schemas.microsoft.com/office/drawing/2014/chart" uri="{C3380CC4-5D6E-409C-BE32-E72D297353CC}">
              <c16:uniqueId val="{00000000-8A3D-4F7C-9D4A-DB13FB8D824A}"/>
            </c:ext>
          </c:extLst>
        </c:ser>
        <c:ser>
          <c:idx val="1"/>
          <c:order val="1"/>
          <c:tx>
            <c:strRef>
              <c:f>'Pivot Table'!$C$1:$C$2</c:f>
              <c:strCache>
                <c:ptCount val="1"/>
                <c:pt idx="0">
                  <c:v>Yes</c:v>
                </c:pt>
              </c:strCache>
            </c:strRef>
          </c:tx>
          <c:spPr>
            <a:ln w="28575" cap="rnd">
              <a:solidFill>
                <a:schemeClr val="accent2"/>
              </a:solidFill>
              <a:round/>
            </a:ln>
            <a:effectLst/>
          </c:spPr>
          <c:marker>
            <c:symbol val="none"/>
          </c:marker>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smooth val="0"/>
          <c:extLst>
            <c:ext xmlns:c16="http://schemas.microsoft.com/office/drawing/2014/chart" uri="{C3380CC4-5D6E-409C-BE32-E72D297353CC}">
              <c16:uniqueId val="{00000001-8A3D-4F7C-9D4A-DB13FB8D824A}"/>
            </c:ext>
          </c:extLst>
        </c:ser>
        <c:dLbls>
          <c:showLegendKey val="0"/>
          <c:showVal val="0"/>
          <c:showCatName val="0"/>
          <c:showSerName val="0"/>
          <c:showPercent val="0"/>
          <c:showBubbleSize val="0"/>
        </c:dLbls>
        <c:smooth val="0"/>
        <c:axId val="641334024"/>
        <c:axId val="641330088"/>
      </c:lineChart>
      <c:catAx>
        <c:axId val="641334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30088"/>
        <c:crosses val="autoZero"/>
        <c:auto val="1"/>
        <c:lblAlgn val="ctr"/>
        <c:lblOffset val="100"/>
        <c:noMultiLvlLbl val="0"/>
      </c:catAx>
      <c:valAx>
        <c:axId val="641330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34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Final.xlsx]Pivot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AE1E-4188-ADFE-449072F368A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1-AE1E-4188-ADFE-449072F368A5}"/>
            </c:ext>
          </c:extLst>
        </c:ser>
        <c:dLbls>
          <c:showLegendKey val="0"/>
          <c:showVal val="0"/>
          <c:showCatName val="0"/>
          <c:showSerName val="0"/>
          <c:showPercent val="0"/>
          <c:showBubbleSize val="0"/>
        </c:dLbls>
        <c:gapWidth val="219"/>
        <c:overlap val="-27"/>
        <c:axId val="641335336"/>
        <c:axId val="641334680"/>
      </c:barChart>
      <c:catAx>
        <c:axId val="641335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34680"/>
        <c:crosses val="autoZero"/>
        <c:auto val="1"/>
        <c:lblAlgn val="ctr"/>
        <c:lblOffset val="100"/>
        <c:noMultiLvlLbl val="0"/>
      </c:catAx>
      <c:valAx>
        <c:axId val="641334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35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Final.xlsx]Pivot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8.2594925634295713E-2"/>
          <c:y val="0.14249781277340332"/>
          <c:w val="0.67018285214348206"/>
          <c:h val="0.50950277048702242"/>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EAD0-46FB-A96B-846F98D4B409}"/>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EAD0-46FB-A96B-846F98D4B409}"/>
            </c:ext>
          </c:extLst>
        </c:ser>
        <c:dLbls>
          <c:showLegendKey val="0"/>
          <c:showVal val="0"/>
          <c:showCatName val="0"/>
          <c:showSerName val="0"/>
          <c:showPercent val="0"/>
          <c:showBubbleSize val="0"/>
        </c:dLbls>
        <c:smooth val="0"/>
        <c:axId val="648571048"/>
        <c:axId val="648566128"/>
      </c:lineChart>
      <c:catAx>
        <c:axId val="648571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566128"/>
        <c:crosses val="autoZero"/>
        <c:auto val="1"/>
        <c:lblAlgn val="ctr"/>
        <c:lblOffset val="100"/>
        <c:noMultiLvlLbl val="0"/>
      </c:catAx>
      <c:valAx>
        <c:axId val="64856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571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Final.xlsx]Pivot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cked"/>
        <c:varyColors val="0"/>
        <c:ser>
          <c:idx val="0"/>
          <c:order val="0"/>
          <c:tx>
            <c:strRef>
              <c:f>'Pivot Table'!$B$43:$B$44</c:f>
              <c:strCache>
                <c:ptCount val="1"/>
                <c:pt idx="0">
                  <c:v>No</c:v>
                </c:pt>
              </c:strCache>
            </c:strRef>
          </c:tx>
          <c:spPr>
            <a:ln w="28575" cap="rnd">
              <a:solidFill>
                <a:schemeClr val="accent1"/>
              </a:solidFill>
              <a:round/>
            </a:ln>
            <a:effectLst/>
          </c:spPr>
          <c:marker>
            <c:symbol val="none"/>
          </c:marker>
          <c:cat>
            <c:strRef>
              <c:f>'Pivot Table'!$A$45:$A$48</c:f>
              <c:strCache>
                <c:ptCount val="3"/>
                <c:pt idx="0">
                  <c:v>Adolescent</c:v>
                </c:pt>
                <c:pt idx="1">
                  <c:v>Middle Age</c:v>
                </c:pt>
                <c:pt idx="2">
                  <c:v>Old</c:v>
                </c:pt>
              </c:strCache>
            </c:strRef>
          </c:cat>
          <c:val>
            <c:numRef>
              <c:f>'Pivot Table'!$B$45:$B$48</c:f>
              <c:numCache>
                <c:formatCode>General</c:formatCode>
                <c:ptCount val="3"/>
                <c:pt idx="0">
                  <c:v>54</c:v>
                </c:pt>
                <c:pt idx="1">
                  <c:v>370</c:v>
                </c:pt>
                <c:pt idx="2">
                  <c:v>107</c:v>
                </c:pt>
              </c:numCache>
            </c:numRef>
          </c:val>
          <c:smooth val="0"/>
          <c:extLst>
            <c:ext xmlns:c16="http://schemas.microsoft.com/office/drawing/2014/chart" uri="{C3380CC4-5D6E-409C-BE32-E72D297353CC}">
              <c16:uniqueId val="{00000000-34FB-452B-BB66-8FE6F44C4CAD}"/>
            </c:ext>
          </c:extLst>
        </c:ser>
        <c:ser>
          <c:idx val="1"/>
          <c:order val="1"/>
          <c:tx>
            <c:strRef>
              <c:f>'Pivot Table'!$C$43:$C$44</c:f>
              <c:strCache>
                <c:ptCount val="1"/>
                <c:pt idx="0">
                  <c:v>Yes</c:v>
                </c:pt>
              </c:strCache>
            </c:strRef>
          </c:tx>
          <c:spPr>
            <a:ln w="28575" cap="rnd">
              <a:solidFill>
                <a:schemeClr val="accent2"/>
              </a:solidFill>
              <a:round/>
            </a:ln>
            <a:effectLst/>
          </c:spPr>
          <c:marker>
            <c:symbol val="none"/>
          </c:marker>
          <c:cat>
            <c:strRef>
              <c:f>'Pivot Table'!$A$45:$A$48</c:f>
              <c:strCache>
                <c:ptCount val="3"/>
                <c:pt idx="0">
                  <c:v>Adolescent</c:v>
                </c:pt>
                <c:pt idx="1">
                  <c:v>Middle Age</c:v>
                </c:pt>
                <c:pt idx="2">
                  <c:v>Old</c:v>
                </c:pt>
              </c:strCache>
            </c:strRef>
          </c:cat>
          <c:val>
            <c:numRef>
              <c:f>'Pivot Table'!$C$45:$C$48</c:f>
              <c:numCache>
                <c:formatCode>General</c:formatCode>
                <c:ptCount val="3"/>
                <c:pt idx="0">
                  <c:v>36</c:v>
                </c:pt>
                <c:pt idx="1">
                  <c:v>374</c:v>
                </c:pt>
                <c:pt idx="2">
                  <c:v>85</c:v>
                </c:pt>
              </c:numCache>
            </c:numRef>
          </c:val>
          <c:smooth val="0"/>
          <c:extLst>
            <c:ext xmlns:c16="http://schemas.microsoft.com/office/drawing/2014/chart" uri="{C3380CC4-5D6E-409C-BE32-E72D297353CC}">
              <c16:uniqueId val="{00000001-34FB-452B-BB66-8FE6F44C4CAD}"/>
            </c:ext>
          </c:extLst>
        </c:ser>
        <c:dLbls>
          <c:showLegendKey val="0"/>
          <c:showVal val="0"/>
          <c:showCatName val="0"/>
          <c:showSerName val="0"/>
          <c:showPercent val="0"/>
          <c:showBubbleSize val="0"/>
        </c:dLbls>
        <c:smooth val="0"/>
        <c:axId val="645996600"/>
        <c:axId val="645995288"/>
      </c:lineChart>
      <c:catAx>
        <c:axId val="645996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95288"/>
        <c:crosses val="autoZero"/>
        <c:auto val="1"/>
        <c:lblAlgn val="ctr"/>
        <c:lblOffset val="100"/>
        <c:noMultiLvlLbl val="0"/>
      </c:catAx>
      <c:valAx>
        <c:axId val="64599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96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Final.xlsx]Pivot Table!PivotTable4</c:name>
    <c:fmtId val="3"/>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cked"/>
        <c:varyColors val="0"/>
        <c:ser>
          <c:idx val="0"/>
          <c:order val="0"/>
          <c:tx>
            <c:strRef>
              <c:f>'Pivot Table'!$B$63:$B$64</c:f>
              <c:strCache>
                <c:ptCount val="1"/>
                <c:pt idx="0">
                  <c:v>No</c:v>
                </c:pt>
              </c:strCache>
            </c:strRef>
          </c:tx>
          <c:spPr>
            <a:ln w="28575" cap="rnd">
              <a:solidFill>
                <a:schemeClr val="accent1"/>
              </a:solidFill>
              <a:round/>
            </a:ln>
            <a:effectLst/>
          </c:spPr>
          <c:marker>
            <c:symbol val="none"/>
          </c:marker>
          <c:cat>
            <c:strRef>
              <c:f>'Pivot Table'!$A$65:$A$118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Table'!$B$65:$B$118</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5684-4754-AE5E-98DEEB24988F}"/>
            </c:ext>
          </c:extLst>
        </c:ser>
        <c:ser>
          <c:idx val="1"/>
          <c:order val="1"/>
          <c:tx>
            <c:strRef>
              <c:f>'Pivot Table'!$C$63:$C$64</c:f>
              <c:strCache>
                <c:ptCount val="1"/>
                <c:pt idx="0">
                  <c:v>Yes</c:v>
                </c:pt>
              </c:strCache>
            </c:strRef>
          </c:tx>
          <c:spPr>
            <a:ln w="28575" cap="rnd">
              <a:solidFill>
                <a:schemeClr val="accent2"/>
              </a:solidFill>
              <a:round/>
            </a:ln>
            <a:effectLst/>
          </c:spPr>
          <c:marker>
            <c:symbol val="none"/>
          </c:marker>
          <c:cat>
            <c:strRef>
              <c:f>'Pivot Table'!$A$65:$A$118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Table'!$C$65:$C$118</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5684-4754-AE5E-98DEEB24988F}"/>
            </c:ext>
          </c:extLst>
        </c:ser>
        <c:dLbls>
          <c:showLegendKey val="0"/>
          <c:showVal val="0"/>
          <c:showCatName val="0"/>
          <c:showSerName val="0"/>
          <c:showPercent val="0"/>
          <c:showBubbleSize val="0"/>
        </c:dLbls>
        <c:smooth val="0"/>
        <c:axId val="645992992"/>
        <c:axId val="645989384"/>
      </c:lineChart>
      <c:catAx>
        <c:axId val="64599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89384"/>
        <c:crosses val="autoZero"/>
        <c:auto val="1"/>
        <c:lblAlgn val="ctr"/>
        <c:lblOffset val="100"/>
        <c:noMultiLvlLbl val="0"/>
      </c:catAx>
      <c:valAx>
        <c:axId val="645989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9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14287</xdr:colOff>
      <xdr:row>0</xdr:row>
      <xdr:rowOff>0</xdr:rowOff>
    </xdr:from>
    <xdr:to>
      <xdr:col>11</xdr:col>
      <xdr:colOff>319087</xdr:colOff>
      <xdr:row>14</xdr:row>
      <xdr:rowOff>76200</xdr:rowOff>
    </xdr:to>
    <xdr:graphicFrame macro="">
      <xdr:nvGraphicFramePr>
        <xdr:cNvPr id="2" name="Chart 1">
          <a:extLst>
            <a:ext uri="{FF2B5EF4-FFF2-40B4-BE49-F238E27FC236}">
              <a16:creationId xmlns:a16="http://schemas.microsoft.com/office/drawing/2014/main" id="{AC5EB6DF-4AEB-4C7E-9242-57BF5998E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252412</xdr:colOff>
      <xdr:row>19</xdr:row>
      <xdr:rowOff>80962</xdr:rowOff>
    </xdr:from>
    <xdr:to>
      <xdr:col>11</xdr:col>
      <xdr:colOff>557212</xdr:colOff>
      <xdr:row>33</xdr:row>
      <xdr:rowOff>157162</xdr:rowOff>
    </xdr:to>
    <xdr:graphicFrame macro="">
      <xdr:nvGraphicFramePr>
        <xdr:cNvPr id="3" name="Chart 2">
          <a:extLst>
            <a:ext uri="{FF2B5EF4-FFF2-40B4-BE49-F238E27FC236}">
              <a16:creationId xmlns:a16="http://schemas.microsoft.com/office/drawing/2014/main" id="{F53FF802-87F1-4915-BBC9-F8543050E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157162</xdr:colOff>
      <xdr:row>39</xdr:row>
      <xdr:rowOff>166687</xdr:rowOff>
    </xdr:from>
    <xdr:to>
      <xdr:col>11</xdr:col>
      <xdr:colOff>461962</xdr:colOff>
      <xdr:row>54</xdr:row>
      <xdr:rowOff>52387</xdr:rowOff>
    </xdr:to>
    <xdr:graphicFrame macro="">
      <xdr:nvGraphicFramePr>
        <xdr:cNvPr id="4" name="Chart 3">
          <a:extLst>
            <a:ext uri="{FF2B5EF4-FFF2-40B4-BE49-F238E27FC236}">
              <a16:creationId xmlns:a16="http://schemas.microsoft.com/office/drawing/2014/main" id="{70722F72-7CC8-47DC-8290-6F26798F4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90487</xdr:colOff>
      <xdr:row>63</xdr:row>
      <xdr:rowOff>128586</xdr:rowOff>
    </xdr:from>
    <xdr:to>
      <xdr:col>17</xdr:col>
      <xdr:colOff>161925</xdr:colOff>
      <xdr:row>89</xdr:row>
      <xdr:rowOff>28575</xdr:rowOff>
    </xdr:to>
    <xdr:graphicFrame macro="">
      <xdr:nvGraphicFramePr>
        <xdr:cNvPr id="5" name="Chart 4">
          <a:extLst>
            <a:ext uri="{FF2B5EF4-FFF2-40B4-BE49-F238E27FC236}">
              <a16:creationId xmlns:a16="http://schemas.microsoft.com/office/drawing/2014/main" id="{FD294466-B577-4ED3-A59C-6913C3F6E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604837</xdr:colOff>
      <xdr:row>0</xdr:row>
      <xdr:rowOff>0</xdr:rowOff>
    </xdr:from>
    <xdr:to>
      <xdr:col>19</xdr:col>
      <xdr:colOff>300037</xdr:colOff>
      <xdr:row>14</xdr:row>
      <xdr:rowOff>76200</xdr:rowOff>
    </xdr:to>
    <xdr:graphicFrame macro="">
      <xdr:nvGraphicFramePr>
        <xdr:cNvPr id="6" name="Chart 5">
          <a:extLst>
            <a:ext uri="{FF2B5EF4-FFF2-40B4-BE49-F238E27FC236}">
              <a16:creationId xmlns:a16="http://schemas.microsoft.com/office/drawing/2014/main" id="{98673D3E-EA98-4151-97A0-85E9649E8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6</xdr:row>
      <xdr:rowOff>9525</xdr:rowOff>
    </xdr:from>
    <xdr:to>
      <xdr:col>10</xdr:col>
      <xdr:colOff>295275</xdr:colOff>
      <xdr:row>20</xdr:row>
      <xdr:rowOff>85725</xdr:rowOff>
    </xdr:to>
    <xdr:graphicFrame macro="">
      <xdr:nvGraphicFramePr>
        <xdr:cNvPr id="2" name="Chart 1">
          <a:extLst>
            <a:ext uri="{FF2B5EF4-FFF2-40B4-BE49-F238E27FC236}">
              <a16:creationId xmlns:a16="http://schemas.microsoft.com/office/drawing/2014/main" id="{60745A16-02A3-4C87-B3F0-08769D6DC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600074</xdr:colOff>
      <xdr:row>20</xdr:row>
      <xdr:rowOff>100011</xdr:rowOff>
    </xdr:from>
    <xdr:to>
      <xdr:col>17</xdr:col>
      <xdr:colOff>19049</xdr:colOff>
      <xdr:row>35</xdr:row>
      <xdr:rowOff>142874</xdr:rowOff>
    </xdr:to>
    <xdr:graphicFrame macro="">
      <xdr:nvGraphicFramePr>
        <xdr:cNvPr id="3" name="Chart 2">
          <a:extLst>
            <a:ext uri="{FF2B5EF4-FFF2-40B4-BE49-F238E27FC236}">
              <a16:creationId xmlns:a16="http://schemas.microsoft.com/office/drawing/2014/main" id="{653D089F-D6D6-42C7-99E4-EC6B75B92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295276</xdr:colOff>
      <xdr:row>6</xdr:row>
      <xdr:rowOff>14287</xdr:rowOff>
    </xdr:from>
    <xdr:to>
      <xdr:col>17</xdr:col>
      <xdr:colOff>9526</xdr:colOff>
      <xdr:row>20</xdr:row>
      <xdr:rowOff>90487</xdr:rowOff>
    </xdr:to>
    <xdr:graphicFrame macro="">
      <xdr:nvGraphicFramePr>
        <xdr:cNvPr id="4" name="Chart 3">
          <a:extLst>
            <a:ext uri="{FF2B5EF4-FFF2-40B4-BE49-F238E27FC236}">
              <a16:creationId xmlns:a16="http://schemas.microsoft.com/office/drawing/2014/main" id="{DB4154E9-A2D0-48F4-89EF-A888F5ED4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76200</xdr:colOff>
      <xdr:row>63</xdr:row>
      <xdr:rowOff>128586</xdr:rowOff>
    </xdr:from>
    <xdr:to>
      <xdr:col>13</xdr:col>
      <xdr:colOff>147638</xdr:colOff>
      <xdr:row>89</xdr:row>
      <xdr:rowOff>28575</xdr:rowOff>
    </xdr:to>
    <xdr:graphicFrame macro="">
      <xdr:nvGraphicFramePr>
        <xdr:cNvPr id="5" name="Chart 4">
          <a:extLst>
            <a:ext uri="{FF2B5EF4-FFF2-40B4-BE49-F238E27FC236}">
              <a16:creationId xmlns:a16="http://schemas.microsoft.com/office/drawing/2014/main" id="{B87608D7-AEAF-4D4D-94EA-D185CD4D8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9526</xdr:rowOff>
    </xdr:from>
    <xdr:to>
      <xdr:col>3</xdr:col>
      <xdr:colOff>0</xdr:colOff>
      <xdr:row>10</xdr:row>
      <xdr:rowOff>161926</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979A1AE-F653-4265-8DE0-17F6480E6AE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52526"/>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171451</xdr:rowOff>
    </xdr:from>
    <xdr:to>
      <xdr:col>3</xdr:col>
      <xdr:colOff>0</xdr:colOff>
      <xdr:row>20</xdr:row>
      <xdr:rowOff>28575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44C7AAD-7AA7-46A2-BDD6-A545CB2BE56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076451"/>
              <a:ext cx="1828800"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28576</xdr:rowOff>
    </xdr:from>
    <xdr:to>
      <xdr:col>3</xdr:col>
      <xdr:colOff>0</xdr:colOff>
      <xdr:row>29</xdr:row>
      <xdr:rowOff>85726</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4899AC9C-046F-4C3C-9357-C3D866CF5BD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3838576"/>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95251</xdr:rowOff>
    </xdr:from>
    <xdr:to>
      <xdr:col>3</xdr:col>
      <xdr:colOff>0</xdr:colOff>
      <xdr:row>35</xdr:row>
      <xdr:rowOff>152401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508D526E-ECAD-4DFF-A92B-5CDF5AD818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619751"/>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IL" refreshedDate="46176.772433101854" createdVersion="6" refreshedVersion="6" minRefreshableVersion="3" recordCount="1026" xr:uid="{BA9282E7-DEB0-45B0-8632-BD845FE65A21}">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48329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x v="0"/>
    <s v="Yes"/>
    <n v="0"/>
    <x v="0"/>
    <x v="0"/>
    <x v="0"/>
    <x v="0"/>
    <x v="0"/>
  </r>
  <r>
    <n v="24107"/>
    <x v="0"/>
    <x v="1"/>
    <n v="30000"/>
    <n v="3"/>
    <x v="1"/>
    <x v="1"/>
    <s v="Yes"/>
    <n v="1"/>
    <x v="0"/>
    <x v="0"/>
    <x v="1"/>
    <x v="0"/>
    <x v="0"/>
  </r>
  <r>
    <n v="14177"/>
    <x v="0"/>
    <x v="1"/>
    <n v="80000"/>
    <n v="5"/>
    <x v="1"/>
    <x v="2"/>
    <s v="No"/>
    <n v="2"/>
    <x v="1"/>
    <x v="0"/>
    <x v="2"/>
    <x v="0"/>
    <x v="0"/>
  </r>
  <r>
    <n v="24381"/>
    <x v="1"/>
    <x v="1"/>
    <n v="70000"/>
    <n v="0"/>
    <x v="0"/>
    <x v="2"/>
    <s v="Yes"/>
    <n v="1"/>
    <x v="2"/>
    <x v="1"/>
    <x v="3"/>
    <x v="1"/>
    <x v="1"/>
  </r>
  <r>
    <n v="25597"/>
    <x v="1"/>
    <x v="1"/>
    <n v="30000"/>
    <n v="0"/>
    <x v="0"/>
    <x v="1"/>
    <s v="No"/>
    <n v="0"/>
    <x v="0"/>
    <x v="0"/>
    <x v="4"/>
    <x v="0"/>
    <x v="1"/>
  </r>
  <r>
    <n v="13507"/>
    <x v="0"/>
    <x v="0"/>
    <n v="10000"/>
    <n v="2"/>
    <x v="1"/>
    <x v="3"/>
    <s v="Yes"/>
    <n v="0"/>
    <x v="3"/>
    <x v="0"/>
    <x v="5"/>
    <x v="0"/>
    <x v="0"/>
  </r>
  <r>
    <n v="27974"/>
    <x v="1"/>
    <x v="1"/>
    <n v="160000"/>
    <n v="2"/>
    <x v="2"/>
    <x v="4"/>
    <s v="Yes"/>
    <n v="4"/>
    <x v="0"/>
    <x v="1"/>
    <x v="6"/>
    <x v="1"/>
    <x v="1"/>
  </r>
  <r>
    <n v="19364"/>
    <x v="0"/>
    <x v="1"/>
    <n v="40000"/>
    <n v="1"/>
    <x v="0"/>
    <x v="0"/>
    <s v="Yes"/>
    <n v="0"/>
    <x v="0"/>
    <x v="0"/>
    <x v="1"/>
    <x v="0"/>
    <x v="1"/>
  </r>
  <r>
    <n v="22155"/>
    <x v="0"/>
    <x v="1"/>
    <n v="20000"/>
    <n v="2"/>
    <x v="3"/>
    <x v="1"/>
    <s v="Yes"/>
    <n v="2"/>
    <x v="2"/>
    <x v="1"/>
    <x v="7"/>
    <x v="0"/>
    <x v="0"/>
  </r>
  <r>
    <n v="19280"/>
    <x v="0"/>
    <x v="1"/>
    <n v="120000"/>
    <n v="2"/>
    <x v="1"/>
    <x v="3"/>
    <s v="Yes"/>
    <n v="1"/>
    <x v="0"/>
    <x v="0"/>
    <x v="8"/>
    <x v="0"/>
    <x v="1"/>
  </r>
  <r>
    <n v="22173"/>
    <x v="0"/>
    <x v="0"/>
    <n v="30000"/>
    <n v="3"/>
    <x v="2"/>
    <x v="0"/>
    <s v="No"/>
    <n v="2"/>
    <x v="3"/>
    <x v="1"/>
    <x v="9"/>
    <x v="1"/>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0"/>
    <x v="1"/>
  </r>
  <r>
    <n v="12610"/>
    <x v="0"/>
    <x v="0"/>
    <n v="30000"/>
    <n v="1"/>
    <x v="0"/>
    <x v="1"/>
    <s v="Yes"/>
    <n v="0"/>
    <x v="0"/>
    <x v="0"/>
    <x v="15"/>
    <x v="1"/>
    <x v="0"/>
  </r>
  <r>
    <n v="27183"/>
    <x v="1"/>
    <x v="1"/>
    <n v="40000"/>
    <n v="2"/>
    <x v="1"/>
    <x v="1"/>
    <s v="Yes"/>
    <n v="1"/>
    <x v="3"/>
    <x v="0"/>
    <x v="11"/>
    <x v="0"/>
    <x v="1"/>
  </r>
  <r>
    <n v="25940"/>
    <x v="1"/>
    <x v="1"/>
    <n v="20000"/>
    <n v="2"/>
    <x v="3"/>
    <x v="1"/>
    <s v="Yes"/>
    <n v="2"/>
    <x v="2"/>
    <x v="1"/>
    <x v="10"/>
    <x v="0"/>
    <x v="1"/>
  </r>
  <r>
    <n v="25598"/>
    <x v="0"/>
    <x v="0"/>
    <n v="40000"/>
    <n v="0"/>
    <x v="4"/>
    <x v="1"/>
    <s v="Yes"/>
    <n v="0"/>
    <x v="0"/>
    <x v="0"/>
    <x v="4"/>
    <x v="0"/>
    <x v="1"/>
  </r>
  <r>
    <n v="21564"/>
    <x v="1"/>
    <x v="0"/>
    <n v="80000"/>
    <n v="0"/>
    <x v="0"/>
    <x v="2"/>
    <s v="Yes"/>
    <n v="4"/>
    <x v="4"/>
    <x v="1"/>
    <x v="11"/>
    <x v="1"/>
    <x v="0"/>
  </r>
  <r>
    <n v="19193"/>
    <x v="1"/>
    <x v="1"/>
    <n v="40000"/>
    <n v="2"/>
    <x v="1"/>
    <x v="1"/>
    <s v="Yes"/>
    <n v="0"/>
    <x v="3"/>
    <x v="0"/>
    <x v="11"/>
    <x v="0"/>
    <x v="1"/>
  </r>
  <r>
    <n v="26412"/>
    <x v="0"/>
    <x v="0"/>
    <n v="80000"/>
    <n v="5"/>
    <x v="2"/>
    <x v="4"/>
    <s v="No"/>
    <n v="3"/>
    <x v="2"/>
    <x v="0"/>
    <x v="16"/>
    <x v="0"/>
    <x v="0"/>
  </r>
  <r>
    <n v="27184"/>
    <x v="1"/>
    <x v="1"/>
    <n v="40000"/>
    <n v="2"/>
    <x v="1"/>
    <x v="1"/>
    <s v="No"/>
    <n v="1"/>
    <x v="0"/>
    <x v="0"/>
    <x v="17"/>
    <x v="0"/>
    <x v="0"/>
  </r>
  <r>
    <n v="12590"/>
    <x v="1"/>
    <x v="1"/>
    <n v="30000"/>
    <n v="1"/>
    <x v="0"/>
    <x v="1"/>
    <s v="Yes"/>
    <n v="0"/>
    <x v="0"/>
    <x v="0"/>
    <x v="18"/>
    <x v="0"/>
    <x v="0"/>
  </r>
  <r>
    <n v="17841"/>
    <x v="1"/>
    <x v="1"/>
    <n v="30000"/>
    <n v="0"/>
    <x v="1"/>
    <x v="1"/>
    <s v="No"/>
    <n v="1"/>
    <x v="0"/>
    <x v="0"/>
    <x v="19"/>
    <x v="2"/>
    <x v="1"/>
  </r>
  <r>
    <n v="18283"/>
    <x v="1"/>
    <x v="0"/>
    <n v="100000"/>
    <n v="0"/>
    <x v="0"/>
    <x v="2"/>
    <s v="No"/>
    <n v="1"/>
    <x v="2"/>
    <x v="1"/>
    <x v="8"/>
    <x v="0"/>
    <x v="0"/>
  </r>
  <r>
    <n v="18299"/>
    <x v="0"/>
    <x v="1"/>
    <n v="70000"/>
    <n v="5"/>
    <x v="1"/>
    <x v="0"/>
    <s v="Yes"/>
    <n v="2"/>
    <x v="2"/>
    <x v="1"/>
    <x v="20"/>
    <x v="1"/>
    <x v="0"/>
  </r>
  <r>
    <n v="16466"/>
    <x v="1"/>
    <x v="0"/>
    <n v="20000"/>
    <n v="0"/>
    <x v="3"/>
    <x v="3"/>
    <s v="No"/>
    <n v="2"/>
    <x v="0"/>
    <x v="0"/>
    <x v="21"/>
    <x v="0"/>
    <x v="1"/>
  </r>
  <r>
    <n v="19273"/>
    <x v="0"/>
    <x v="0"/>
    <n v="20000"/>
    <n v="2"/>
    <x v="1"/>
    <x v="3"/>
    <s v="Yes"/>
    <n v="0"/>
    <x v="0"/>
    <x v="0"/>
    <x v="18"/>
    <x v="0"/>
    <x v="0"/>
  </r>
  <r>
    <n v="22400"/>
    <x v="0"/>
    <x v="1"/>
    <n v="10000"/>
    <n v="0"/>
    <x v="1"/>
    <x v="3"/>
    <s v="No"/>
    <n v="1"/>
    <x v="0"/>
    <x v="1"/>
    <x v="22"/>
    <x v="2"/>
    <x v="1"/>
  </r>
  <r>
    <n v="20942"/>
    <x v="1"/>
    <x v="0"/>
    <n v="20000"/>
    <n v="0"/>
    <x v="2"/>
    <x v="3"/>
    <s v="No"/>
    <n v="1"/>
    <x v="2"/>
    <x v="0"/>
    <x v="23"/>
    <x v="1"/>
    <x v="0"/>
  </r>
  <r>
    <n v="18484"/>
    <x v="1"/>
    <x v="1"/>
    <n v="80000"/>
    <n v="2"/>
    <x v="2"/>
    <x v="0"/>
    <s v="No"/>
    <n v="2"/>
    <x v="3"/>
    <x v="1"/>
    <x v="5"/>
    <x v="0"/>
    <x v="1"/>
  </r>
  <r>
    <n v="12291"/>
    <x v="1"/>
    <x v="1"/>
    <n v="90000"/>
    <n v="5"/>
    <x v="1"/>
    <x v="2"/>
    <s v="No"/>
    <n v="2"/>
    <x v="1"/>
    <x v="0"/>
    <x v="24"/>
    <x v="0"/>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1"/>
    <x v="1"/>
  </r>
  <r>
    <n v="27803"/>
    <x v="1"/>
    <x v="0"/>
    <n v="30000"/>
    <n v="2"/>
    <x v="1"/>
    <x v="1"/>
    <s v="No"/>
    <n v="0"/>
    <x v="0"/>
    <x v="0"/>
    <x v="1"/>
    <x v="1"/>
    <x v="0"/>
  </r>
  <r>
    <n v="14347"/>
    <x v="1"/>
    <x v="0"/>
    <n v="40000"/>
    <n v="2"/>
    <x v="0"/>
    <x v="4"/>
    <s v="Yes"/>
    <n v="2"/>
    <x v="2"/>
    <x v="1"/>
    <x v="27"/>
    <x v="0"/>
    <x v="1"/>
  </r>
  <r>
    <n v="17703"/>
    <x v="0"/>
    <x v="0"/>
    <n v="10000"/>
    <n v="1"/>
    <x v="4"/>
    <x v="3"/>
    <s v="Yes"/>
    <n v="0"/>
    <x v="0"/>
    <x v="0"/>
    <x v="8"/>
    <x v="0"/>
    <x v="0"/>
  </r>
  <r>
    <n v="17185"/>
    <x v="0"/>
    <x v="0"/>
    <n v="170000"/>
    <n v="4"/>
    <x v="1"/>
    <x v="2"/>
    <s v="No"/>
    <n v="3"/>
    <x v="2"/>
    <x v="0"/>
    <x v="28"/>
    <x v="0"/>
    <x v="1"/>
  </r>
  <r>
    <n v="29380"/>
    <x v="0"/>
    <x v="0"/>
    <n v="20000"/>
    <n v="3"/>
    <x v="2"/>
    <x v="3"/>
    <s v="Yes"/>
    <n v="0"/>
    <x v="0"/>
    <x v="0"/>
    <x v="3"/>
    <x v="1"/>
    <x v="1"/>
  </r>
  <r>
    <n v="23986"/>
    <x v="0"/>
    <x v="0"/>
    <n v="20000"/>
    <n v="1"/>
    <x v="0"/>
    <x v="1"/>
    <s v="Yes"/>
    <n v="0"/>
    <x v="0"/>
    <x v="0"/>
    <x v="29"/>
    <x v="0"/>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0"/>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0"/>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1"/>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0"/>
    <x v="0"/>
  </r>
  <r>
    <n v="29355"/>
    <x v="0"/>
    <x v="0"/>
    <n v="40000"/>
    <n v="0"/>
    <x v="4"/>
    <x v="1"/>
    <s v="Yes"/>
    <n v="0"/>
    <x v="0"/>
    <x v="0"/>
    <x v="34"/>
    <x v="1"/>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0"/>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0"/>
    <x v="1"/>
  </r>
  <r>
    <n v="20828"/>
    <x v="0"/>
    <x v="0"/>
    <n v="30000"/>
    <n v="4"/>
    <x v="4"/>
    <x v="1"/>
    <s v="Yes"/>
    <n v="0"/>
    <x v="0"/>
    <x v="0"/>
    <x v="12"/>
    <x v="0"/>
    <x v="1"/>
  </r>
  <r>
    <n v="19461"/>
    <x v="1"/>
    <x v="0"/>
    <n v="10000"/>
    <n v="4"/>
    <x v="3"/>
    <x v="3"/>
    <s v="Yes"/>
    <n v="2"/>
    <x v="0"/>
    <x v="0"/>
    <x v="8"/>
    <x v="1"/>
    <x v="0"/>
  </r>
  <r>
    <n v="26941"/>
    <x v="0"/>
    <x v="1"/>
    <n v="30000"/>
    <n v="0"/>
    <x v="0"/>
    <x v="1"/>
    <s v="Yes"/>
    <n v="0"/>
    <x v="0"/>
    <x v="0"/>
    <x v="15"/>
    <x v="1"/>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0"/>
    <x v="0"/>
  </r>
  <r>
    <n v="17197"/>
    <x v="1"/>
    <x v="0"/>
    <n v="90000"/>
    <n v="5"/>
    <x v="1"/>
    <x v="2"/>
    <s v="Yes"/>
    <n v="2"/>
    <x v="4"/>
    <x v="0"/>
    <x v="24"/>
    <x v="0"/>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1"/>
    <x v="0"/>
  </r>
  <r>
    <n v="20430"/>
    <x v="0"/>
    <x v="1"/>
    <n v="70000"/>
    <n v="2"/>
    <x v="1"/>
    <x v="0"/>
    <s v="Yes"/>
    <n v="2"/>
    <x v="2"/>
    <x v="1"/>
    <x v="31"/>
    <x v="0"/>
    <x v="1"/>
  </r>
  <r>
    <n v="27494"/>
    <x v="1"/>
    <x v="0"/>
    <n v="40000"/>
    <n v="2"/>
    <x v="1"/>
    <x v="0"/>
    <s v="No"/>
    <n v="2"/>
    <x v="3"/>
    <x v="1"/>
    <x v="39"/>
    <x v="1"/>
    <x v="1"/>
  </r>
  <r>
    <n v="26829"/>
    <x v="0"/>
    <x v="0"/>
    <n v="40000"/>
    <n v="0"/>
    <x v="0"/>
    <x v="1"/>
    <s v="Yes"/>
    <n v="0"/>
    <x v="0"/>
    <x v="0"/>
    <x v="13"/>
    <x v="0"/>
    <x v="1"/>
  </r>
  <r>
    <n v="28395"/>
    <x v="1"/>
    <x v="1"/>
    <n v="40000"/>
    <n v="0"/>
    <x v="0"/>
    <x v="2"/>
    <s v="No"/>
    <n v="0"/>
    <x v="0"/>
    <x v="0"/>
    <x v="32"/>
    <x v="0"/>
    <x v="1"/>
  </r>
  <r>
    <n v="21006"/>
    <x v="1"/>
    <x v="0"/>
    <n v="30000"/>
    <n v="1"/>
    <x v="1"/>
    <x v="3"/>
    <s v="No"/>
    <n v="0"/>
    <x v="0"/>
    <x v="0"/>
    <x v="30"/>
    <x v="1"/>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0"/>
    <x v="0"/>
  </r>
  <r>
    <n v="27775"/>
    <x v="1"/>
    <x v="0"/>
    <n v="40000"/>
    <n v="0"/>
    <x v="0"/>
    <x v="1"/>
    <s v="No"/>
    <n v="0"/>
    <x v="0"/>
    <x v="0"/>
    <x v="13"/>
    <x v="0"/>
    <x v="1"/>
  </r>
  <r>
    <n v="29301"/>
    <x v="0"/>
    <x v="1"/>
    <n v="80000"/>
    <n v="5"/>
    <x v="0"/>
    <x v="2"/>
    <s v="Yes"/>
    <n v="4"/>
    <x v="3"/>
    <x v="1"/>
    <x v="8"/>
    <x v="1"/>
    <x v="0"/>
  </r>
  <r>
    <n v="12716"/>
    <x v="1"/>
    <x v="1"/>
    <n v="30000"/>
    <n v="0"/>
    <x v="1"/>
    <x v="1"/>
    <s v="Yes"/>
    <n v="1"/>
    <x v="1"/>
    <x v="0"/>
    <x v="21"/>
    <x v="1"/>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0"/>
    <x v="1"/>
  </r>
  <r>
    <n v="19477"/>
    <x v="0"/>
    <x v="1"/>
    <n v="40000"/>
    <n v="0"/>
    <x v="0"/>
    <x v="2"/>
    <s v="Yes"/>
    <n v="0"/>
    <x v="0"/>
    <x v="0"/>
    <x v="8"/>
    <x v="0"/>
    <x v="1"/>
  </r>
  <r>
    <n v="26796"/>
    <x v="1"/>
    <x v="1"/>
    <n v="40000"/>
    <n v="2"/>
    <x v="0"/>
    <x v="4"/>
    <s v="Yes"/>
    <n v="2"/>
    <x v="2"/>
    <x v="1"/>
    <x v="27"/>
    <x v="0"/>
    <x v="1"/>
  </r>
  <r>
    <n v="21094"/>
    <x v="1"/>
    <x v="0"/>
    <n v="30000"/>
    <n v="2"/>
    <x v="1"/>
    <x v="1"/>
    <s v="Yes"/>
    <n v="2"/>
    <x v="0"/>
    <x v="0"/>
    <x v="0"/>
    <x v="0"/>
    <x v="0"/>
  </r>
  <r>
    <n v="12234"/>
    <x v="0"/>
    <x v="1"/>
    <n v="10000"/>
    <n v="2"/>
    <x v="1"/>
    <x v="3"/>
    <s v="Yes"/>
    <n v="1"/>
    <x v="1"/>
    <x v="0"/>
    <x v="31"/>
    <x v="1"/>
    <x v="0"/>
  </r>
  <r>
    <n v="28683"/>
    <x v="1"/>
    <x v="0"/>
    <n v="10000"/>
    <n v="1"/>
    <x v="2"/>
    <x v="3"/>
    <s v="No"/>
    <n v="1"/>
    <x v="2"/>
    <x v="0"/>
    <x v="11"/>
    <x v="0"/>
    <x v="1"/>
  </r>
  <r>
    <n v="17994"/>
    <x v="1"/>
    <x v="1"/>
    <n v="20000"/>
    <n v="2"/>
    <x v="2"/>
    <x v="3"/>
    <s v="Yes"/>
    <n v="2"/>
    <x v="0"/>
    <x v="0"/>
    <x v="0"/>
    <x v="0"/>
    <x v="0"/>
  </r>
  <r>
    <n v="24273"/>
    <x v="0"/>
    <x v="0"/>
    <n v="20000"/>
    <n v="2"/>
    <x v="3"/>
    <x v="1"/>
    <s v="Yes"/>
    <n v="2"/>
    <x v="2"/>
    <x v="1"/>
    <x v="10"/>
    <x v="0"/>
    <x v="1"/>
  </r>
  <r>
    <n v="26547"/>
    <x v="1"/>
    <x v="0"/>
    <n v="30000"/>
    <n v="2"/>
    <x v="1"/>
    <x v="1"/>
    <s v="No"/>
    <n v="2"/>
    <x v="2"/>
    <x v="1"/>
    <x v="2"/>
    <x v="0"/>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1"/>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0"/>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0"/>
    <x v="0"/>
  </r>
  <r>
    <n v="23979"/>
    <x v="1"/>
    <x v="1"/>
    <n v="10000"/>
    <n v="2"/>
    <x v="1"/>
    <x v="3"/>
    <s v="No"/>
    <n v="0"/>
    <x v="0"/>
    <x v="0"/>
    <x v="5"/>
    <x v="1"/>
    <x v="0"/>
  </r>
  <r>
    <n v="25605"/>
    <x v="1"/>
    <x v="0"/>
    <n v="20000"/>
    <n v="2"/>
    <x v="1"/>
    <x v="3"/>
    <s v="No"/>
    <n v="1"/>
    <x v="0"/>
    <x v="0"/>
    <x v="9"/>
    <x v="1"/>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1"/>
    <x v="0"/>
  </r>
  <r>
    <n v="26757"/>
    <x v="1"/>
    <x v="1"/>
    <n v="90000"/>
    <n v="1"/>
    <x v="0"/>
    <x v="2"/>
    <s v="Yes"/>
    <n v="1"/>
    <x v="1"/>
    <x v="1"/>
    <x v="15"/>
    <x v="0"/>
    <x v="1"/>
  </r>
  <r>
    <n v="14233"/>
    <x v="1"/>
    <x v="1"/>
    <n v="100000"/>
    <n v="0"/>
    <x v="2"/>
    <x v="4"/>
    <s v="Yes"/>
    <n v="3"/>
    <x v="4"/>
    <x v="1"/>
    <x v="11"/>
    <x v="0"/>
    <x v="0"/>
  </r>
  <r>
    <n v="14058"/>
    <x v="1"/>
    <x v="1"/>
    <n v="70000"/>
    <n v="0"/>
    <x v="0"/>
    <x v="2"/>
    <s v="No"/>
    <n v="1"/>
    <x v="2"/>
    <x v="1"/>
    <x v="3"/>
    <x v="1"/>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1"/>
    <x v="0"/>
  </r>
  <r>
    <n v="19442"/>
    <x v="1"/>
    <x v="1"/>
    <n v="50000"/>
    <n v="0"/>
    <x v="4"/>
    <x v="0"/>
    <s v="Yes"/>
    <n v="0"/>
    <x v="0"/>
    <x v="0"/>
    <x v="34"/>
    <x v="1"/>
    <x v="1"/>
  </r>
  <r>
    <n v="17504"/>
    <x v="1"/>
    <x v="0"/>
    <n v="80000"/>
    <n v="2"/>
    <x v="1"/>
    <x v="0"/>
    <s v="Yes"/>
    <n v="2"/>
    <x v="2"/>
    <x v="1"/>
    <x v="31"/>
    <x v="0"/>
    <x v="1"/>
  </r>
  <r>
    <n v="12253"/>
    <x v="1"/>
    <x v="0"/>
    <n v="20000"/>
    <n v="0"/>
    <x v="1"/>
    <x v="3"/>
    <s v="Yes"/>
    <n v="0"/>
    <x v="0"/>
    <x v="1"/>
    <x v="19"/>
    <x v="2"/>
    <x v="1"/>
  </r>
  <r>
    <n v="27304"/>
    <x v="1"/>
    <x v="0"/>
    <n v="110000"/>
    <n v="2"/>
    <x v="1"/>
    <x v="2"/>
    <s v="No"/>
    <n v="3"/>
    <x v="2"/>
    <x v="0"/>
    <x v="28"/>
    <x v="1"/>
    <x v="0"/>
  </r>
  <r>
    <n v="14191"/>
    <x v="0"/>
    <x v="1"/>
    <n v="160000"/>
    <n v="4"/>
    <x v="1"/>
    <x v="2"/>
    <s v="No"/>
    <n v="2"/>
    <x v="4"/>
    <x v="0"/>
    <x v="10"/>
    <x v="0"/>
    <x v="1"/>
  </r>
  <r>
    <n v="12212"/>
    <x v="0"/>
    <x v="0"/>
    <n v="10000"/>
    <n v="0"/>
    <x v="4"/>
    <x v="3"/>
    <s v="Yes"/>
    <n v="0"/>
    <x v="0"/>
    <x v="0"/>
    <x v="34"/>
    <x v="1"/>
    <x v="1"/>
  </r>
  <r>
    <n v="25529"/>
    <x v="1"/>
    <x v="1"/>
    <n v="10000"/>
    <n v="1"/>
    <x v="4"/>
    <x v="3"/>
    <s v="Yes"/>
    <n v="0"/>
    <x v="0"/>
    <x v="0"/>
    <x v="20"/>
    <x v="0"/>
    <x v="0"/>
  </r>
  <r>
    <n v="22170"/>
    <x v="0"/>
    <x v="0"/>
    <n v="30000"/>
    <n v="3"/>
    <x v="1"/>
    <x v="1"/>
    <s v="No"/>
    <n v="2"/>
    <x v="3"/>
    <x v="1"/>
    <x v="10"/>
    <x v="0"/>
    <x v="1"/>
  </r>
  <r>
    <n v="19445"/>
    <x v="0"/>
    <x v="0"/>
    <n v="10000"/>
    <n v="2"/>
    <x v="2"/>
    <x v="3"/>
    <s v="No"/>
    <n v="1"/>
    <x v="0"/>
    <x v="0"/>
    <x v="13"/>
    <x v="0"/>
    <x v="0"/>
  </r>
  <r>
    <n v="15265"/>
    <x v="1"/>
    <x v="1"/>
    <n v="40000"/>
    <n v="2"/>
    <x v="0"/>
    <x v="4"/>
    <s v="Yes"/>
    <n v="2"/>
    <x v="2"/>
    <x v="1"/>
    <x v="29"/>
    <x v="0"/>
    <x v="1"/>
  </r>
  <r>
    <n v="28918"/>
    <x v="0"/>
    <x v="0"/>
    <n v="130000"/>
    <n v="4"/>
    <x v="2"/>
    <x v="4"/>
    <s v="No"/>
    <n v="4"/>
    <x v="4"/>
    <x v="0"/>
    <x v="7"/>
    <x v="1"/>
    <x v="0"/>
  </r>
  <r>
    <n v="15799"/>
    <x v="0"/>
    <x v="0"/>
    <n v="90000"/>
    <n v="1"/>
    <x v="0"/>
    <x v="2"/>
    <s v="Yes"/>
    <n v="1"/>
    <x v="1"/>
    <x v="1"/>
    <x v="15"/>
    <x v="0"/>
    <x v="1"/>
  </r>
  <r>
    <n v="11047"/>
    <x v="0"/>
    <x v="0"/>
    <n v="30000"/>
    <n v="3"/>
    <x v="2"/>
    <x v="0"/>
    <s v="No"/>
    <n v="2"/>
    <x v="3"/>
    <x v="1"/>
    <x v="16"/>
    <x v="0"/>
    <x v="1"/>
  </r>
  <r>
    <n v="18151"/>
    <x v="1"/>
    <x v="1"/>
    <n v="80000"/>
    <n v="5"/>
    <x v="1"/>
    <x v="2"/>
    <s v="No"/>
    <n v="2"/>
    <x v="4"/>
    <x v="0"/>
    <x v="14"/>
    <x v="0"/>
    <x v="0"/>
  </r>
  <r>
    <n v="20606"/>
    <x v="0"/>
    <x v="0"/>
    <n v="70000"/>
    <n v="0"/>
    <x v="0"/>
    <x v="2"/>
    <s v="Yes"/>
    <n v="4"/>
    <x v="4"/>
    <x v="1"/>
    <x v="21"/>
    <x v="0"/>
    <x v="1"/>
  </r>
  <r>
    <n v="19482"/>
    <x v="0"/>
    <x v="1"/>
    <n v="30000"/>
    <n v="1"/>
    <x v="1"/>
    <x v="1"/>
    <s v="Yes"/>
    <n v="1"/>
    <x v="0"/>
    <x v="0"/>
    <x v="20"/>
    <x v="0"/>
    <x v="1"/>
  </r>
  <r>
    <n v="16489"/>
    <x v="0"/>
    <x v="1"/>
    <n v="30000"/>
    <n v="3"/>
    <x v="2"/>
    <x v="0"/>
    <s v="Yes"/>
    <n v="2"/>
    <x v="2"/>
    <x v="1"/>
    <x v="10"/>
    <x v="0"/>
    <x v="0"/>
  </r>
  <r>
    <n v="26944"/>
    <x v="1"/>
    <x v="1"/>
    <n v="90000"/>
    <n v="2"/>
    <x v="2"/>
    <x v="3"/>
    <s v="Yes"/>
    <n v="0"/>
    <x v="0"/>
    <x v="0"/>
    <x v="4"/>
    <x v="0"/>
    <x v="1"/>
  </r>
  <r>
    <n v="15682"/>
    <x v="1"/>
    <x v="0"/>
    <n v="80000"/>
    <n v="5"/>
    <x v="0"/>
    <x v="4"/>
    <s v="Yes"/>
    <n v="2"/>
    <x v="4"/>
    <x v="0"/>
    <x v="24"/>
    <x v="0"/>
    <x v="0"/>
  </r>
  <r>
    <n v="26032"/>
    <x v="0"/>
    <x v="0"/>
    <n v="70000"/>
    <n v="5"/>
    <x v="0"/>
    <x v="2"/>
    <s v="Yes"/>
    <n v="4"/>
    <x v="4"/>
    <x v="1"/>
    <x v="3"/>
    <x v="1"/>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0"/>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1"/>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0"/>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1"/>
    <x v="1"/>
  </r>
  <r>
    <n v="20946"/>
    <x v="1"/>
    <x v="0"/>
    <n v="30000"/>
    <n v="0"/>
    <x v="1"/>
    <x v="1"/>
    <s v="No"/>
    <n v="1"/>
    <x v="1"/>
    <x v="0"/>
    <x v="25"/>
    <x v="2"/>
    <x v="0"/>
  </r>
  <r>
    <n v="11451"/>
    <x v="1"/>
    <x v="1"/>
    <n v="70000"/>
    <n v="0"/>
    <x v="0"/>
    <x v="2"/>
    <s v="No"/>
    <n v="4"/>
    <x v="4"/>
    <x v="1"/>
    <x v="23"/>
    <x v="0"/>
    <x v="1"/>
  </r>
  <r>
    <n v="25553"/>
    <x v="0"/>
    <x v="1"/>
    <n v="30000"/>
    <n v="1"/>
    <x v="0"/>
    <x v="1"/>
    <s v="Yes"/>
    <n v="0"/>
    <x v="0"/>
    <x v="0"/>
    <x v="27"/>
    <x v="0"/>
    <x v="1"/>
  </r>
  <r>
    <n v="27951"/>
    <x v="1"/>
    <x v="1"/>
    <n v="80000"/>
    <n v="4"/>
    <x v="1"/>
    <x v="2"/>
    <s v="No"/>
    <n v="2"/>
    <x v="1"/>
    <x v="0"/>
    <x v="9"/>
    <x v="0"/>
    <x v="1"/>
  </r>
  <r>
    <n v="25026"/>
    <x v="0"/>
    <x v="1"/>
    <n v="20000"/>
    <n v="2"/>
    <x v="3"/>
    <x v="1"/>
    <s v="Yes"/>
    <n v="3"/>
    <x v="2"/>
    <x v="1"/>
    <x v="9"/>
    <x v="1"/>
    <x v="0"/>
  </r>
  <r>
    <n v="13673"/>
    <x v="1"/>
    <x v="0"/>
    <n v="20000"/>
    <n v="0"/>
    <x v="3"/>
    <x v="3"/>
    <s v="No"/>
    <n v="2"/>
    <x v="0"/>
    <x v="0"/>
    <x v="37"/>
    <x v="1"/>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1"/>
    <x v="0"/>
  </r>
  <r>
    <n v="18711"/>
    <x v="1"/>
    <x v="0"/>
    <n v="70000"/>
    <n v="5"/>
    <x v="0"/>
    <x v="2"/>
    <s v="Yes"/>
    <n v="4"/>
    <x v="4"/>
    <x v="1"/>
    <x v="32"/>
    <x v="0"/>
    <x v="0"/>
  </r>
  <r>
    <n v="19650"/>
    <x v="0"/>
    <x v="0"/>
    <n v="30000"/>
    <n v="2"/>
    <x v="1"/>
    <x v="1"/>
    <s v="No"/>
    <n v="2"/>
    <x v="0"/>
    <x v="1"/>
    <x v="41"/>
    <x v="0"/>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0"/>
    <x v="0"/>
  </r>
  <r>
    <n v="22830"/>
    <x v="0"/>
    <x v="1"/>
    <n v="120000"/>
    <n v="4"/>
    <x v="1"/>
    <x v="4"/>
    <s v="Yes"/>
    <n v="3"/>
    <x v="4"/>
    <x v="0"/>
    <x v="16"/>
    <x v="0"/>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1"/>
    <x v="1"/>
  </r>
  <r>
    <n v="22006"/>
    <x v="0"/>
    <x v="1"/>
    <n v="70000"/>
    <n v="5"/>
    <x v="1"/>
    <x v="0"/>
    <s v="Yes"/>
    <n v="3"/>
    <x v="2"/>
    <x v="1"/>
    <x v="30"/>
    <x v="1"/>
    <x v="0"/>
  </r>
  <r>
    <n v="20060"/>
    <x v="1"/>
    <x v="0"/>
    <n v="30000"/>
    <n v="0"/>
    <x v="2"/>
    <x v="3"/>
    <s v="No"/>
    <n v="1"/>
    <x v="1"/>
    <x v="0"/>
    <x v="17"/>
    <x v="0"/>
    <x v="1"/>
  </r>
  <r>
    <n v="17702"/>
    <x v="0"/>
    <x v="1"/>
    <n v="10000"/>
    <n v="1"/>
    <x v="4"/>
    <x v="3"/>
    <s v="Yes"/>
    <n v="0"/>
    <x v="0"/>
    <x v="0"/>
    <x v="34"/>
    <x v="1"/>
    <x v="0"/>
  </r>
  <r>
    <n v="12503"/>
    <x v="1"/>
    <x v="0"/>
    <n v="30000"/>
    <n v="3"/>
    <x v="1"/>
    <x v="1"/>
    <s v="Yes"/>
    <n v="2"/>
    <x v="0"/>
    <x v="0"/>
    <x v="40"/>
    <x v="1"/>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1"/>
    <x v="1"/>
  </r>
  <r>
    <n v="11249"/>
    <x v="0"/>
    <x v="0"/>
    <n v="130000"/>
    <n v="3"/>
    <x v="1"/>
    <x v="2"/>
    <s v="Yes"/>
    <n v="3"/>
    <x v="0"/>
    <x v="0"/>
    <x v="36"/>
    <x v="0"/>
    <x v="1"/>
  </r>
  <r>
    <n v="21568"/>
    <x v="0"/>
    <x v="0"/>
    <n v="100000"/>
    <n v="0"/>
    <x v="2"/>
    <x v="4"/>
    <s v="Yes"/>
    <n v="4"/>
    <x v="4"/>
    <x v="1"/>
    <x v="17"/>
    <x v="0"/>
    <x v="1"/>
  </r>
  <r>
    <n v="13981"/>
    <x v="0"/>
    <x v="0"/>
    <n v="10000"/>
    <n v="5"/>
    <x v="2"/>
    <x v="0"/>
    <s v="No"/>
    <n v="3"/>
    <x v="3"/>
    <x v="1"/>
    <x v="24"/>
    <x v="0"/>
    <x v="0"/>
  </r>
  <r>
    <n v="23432"/>
    <x v="1"/>
    <x v="1"/>
    <n v="70000"/>
    <n v="0"/>
    <x v="0"/>
    <x v="2"/>
    <s v="Yes"/>
    <n v="1"/>
    <x v="2"/>
    <x v="1"/>
    <x v="34"/>
    <x v="0"/>
    <x v="1"/>
  </r>
  <r>
    <n v="22931"/>
    <x v="0"/>
    <x v="1"/>
    <n v="100000"/>
    <n v="5"/>
    <x v="4"/>
    <x v="4"/>
    <s v="No"/>
    <n v="1"/>
    <x v="3"/>
    <x v="1"/>
    <x v="44"/>
    <x v="0"/>
    <x v="1"/>
  </r>
  <r>
    <n v="18172"/>
    <x v="0"/>
    <x v="1"/>
    <n v="130000"/>
    <n v="4"/>
    <x v="2"/>
    <x v="2"/>
    <s v="Yes"/>
    <n v="3"/>
    <x v="0"/>
    <x v="0"/>
    <x v="10"/>
    <x v="0"/>
    <x v="0"/>
  </r>
  <r>
    <n v="12666"/>
    <x v="1"/>
    <x v="1"/>
    <n v="60000"/>
    <n v="0"/>
    <x v="0"/>
    <x v="2"/>
    <s v="No"/>
    <n v="4"/>
    <x v="1"/>
    <x v="1"/>
    <x v="23"/>
    <x v="0"/>
    <x v="0"/>
  </r>
  <r>
    <n v="20598"/>
    <x v="0"/>
    <x v="1"/>
    <n v="100000"/>
    <n v="3"/>
    <x v="3"/>
    <x v="2"/>
    <s v="Yes"/>
    <n v="0"/>
    <x v="4"/>
    <x v="0"/>
    <x v="14"/>
    <x v="0"/>
    <x v="1"/>
  </r>
  <r>
    <n v="21375"/>
    <x v="1"/>
    <x v="1"/>
    <n v="20000"/>
    <n v="2"/>
    <x v="3"/>
    <x v="1"/>
    <s v="Yes"/>
    <n v="2"/>
    <x v="2"/>
    <x v="1"/>
    <x v="42"/>
    <x v="0"/>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0"/>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1"/>
    <x v="0"/>
  </r>
  <r>
    <n v="24187"/>
    <x v="1"/>
    <x v="0"/>
    <n v="30000"/>
    <n v="3"/>
    <x v="4"/>
    <x v="1"/>
    <s v="No"/>
    <n v="0"/>
    <x v="0"/>
    <x v="0"/>
    <x v="30"/>
    <x v="1"/>
    <x v="1"/>
  </r>
  <r>
    <n v="15758"/>
    <x v="0"/>
    <x v="1"/>
    <n v="130000"/>
    <n v="0"/>
    <x v="4"/>
    <x v="4"/>
    <s v="Yes"/>
    <n v="0"/>
    <x v="2"/>
    <x v="1"/>
    <x v="28"/>
    <x v="0"/>
    <x v="0"/>
  </r>
  <r>
    <n v="29094"/>
    <x v="0"/>
    <x v="1"/>
    <n v="30000"/>
    <n v="3"/>
    <x v="2"/>
    <x v="0"/>
    <s v="Yes"/>
    <n v="2"/>
    <x v="2"/>
    <x v="1"/>
    <x v="9"/>
    <x v="1"/>
    <x v="1"/>
  </r>
  <r>
    <n v="28319"/>
    <x v="1"/>
    <x v="0"/>
    <n v="60000"/>
    <n v="1"/>
    <x v="1"/>
    <x v="0"/>
    <s v="No"/>
    <n v="1"/>
    <x v="0"/>
    <x v="1"/>
    <x v="30"/>
    <x v="0"/>
    <x v="1"/>
  </r>
  <r>
    <n v="16406"/>
    <x v="0"/>
    <x v="1"/>
    <n v="40000"/>
    <n v="0"/>
    <x v="0"/>
    <x v="1"/>
    <s v="No"/>
    <n v="0"/>
    <x v="0"/>
    <x v="0"/>
    <x v="13"/>
    <x v="0"/>
    <x v="1"/>
  </r>
  <r>
    <n v="20923"/>
    <x v="0"/>
    <x v="0"/>
    <n v="40000"/>
    <n v="1"/>
    <x v="0"/>
    <x v="0"/>
    <s v="Yes"/>
    <n v="0"/>
    <x v="0"/>
    <x v="0"/>
    <x v="0"/>
    <x v="1"/>
    <x v="1"/>
  </r>
  <r>
    <n v="11378"/>
    <x v="1"/>
    <x v="0"/>
    <n v="10000"/>
    <n v="1"/>
    <x v="2"/>
    <x v="3"/>
    <s v="No"/>
    <n v="1"/>
    <x v="1"/>
    <x v="0"/>
    <x v="30"/>
    <x v="0"/>
    <x v="1"/>
  </r>
  <r>
    <n v="20851"/>
    <x v="1"/>
    <x v="1"/>
    <n v="20000"/>
    <n v="0"/>
    <x v="1"/>
    <x v="3"/>
    <s v="No"/>
    <n v="1"/>
    <x v="1"/>
    <x v="0"/>
    <x v="4"/>
    <x v="1"/>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0"/>
    <x v="0"/>
  </r>
  <r>
    <n v="17926"/>
    <x v="1"/>
    <x v="0"/>
    <n v="40000"/>
    <n v="0"/>
    <x v="0"/>
    <x v="1"/>
    <s v="No"/>
    <n v="0"/>
    <x v="0"/>
    <x v="1"/>
    <x v="26"/>
    <x v="2"/>
    <x v="1"/>
  </r>
  <r>
    <n v="26928"/>
    <x v="1"/>
    <x v="1"/>
    <n v="30000"/>
    <n v="1"/>
    <x v="0"/>
    <x v="1"/>
    <s v="Yes"/>
    <n v="0"/>
    <x v="0"/>
    <x v="0"/>
    <x v="24"/>
    <x v="0"/>
    <x v="1"/>
  </r>
  <r>
    <n v="20897"/>
    <x v="0"/>
    <x v="0"/>
    <n v="30000"/>
    <n v="1"/>
    <x v="0"/>
    <x v="0"/>
    <s v="Yes"/>
    <n v="2"/>
    <x v="0"/>
    <x v="0"/>
    <x v="8"/>
    <x v="1"/>
    <x v="0"/>
  </r>
  <r>
    <n v="28207"/>
    <x v="0"/>
    <x v="1"/>
    <n v="80000"/>
    <n v="4"/>
    <x v="4"/>
    <x v="4"/>
    <s v="Yes"/>
    <n v="1"/>
    <x v="0"/>
    <x v="1"/>
    <x v="4"/>
    <x v="0"/>
    <x v="1"/>
  </r>
  <r>
    <n v="25923"/>
    <x v="1"/>
    <x v="1"/>
    <n v="10000"/>
    <n v="2"/>
    <x v="3"/>
    <x v="1"/>
    <s v="Yes"/>
    <n v="2"/>
    <x v="2"/>
    <x v="1"/>
    <x v="7"/>
    <x v="0"/>
    <x v="0"/>
  </r>
  <r>
    <n v="11000"/>
    <x v="0"/>
    <x v="1"/>
    <n v="90000"/>
    <n v="2"/>
    <x v="0"/>
    <x v="2"/>
    <s v="Yes"/>
    <n v="0"/>
    <x v="3"/>
    <x v="1"/>
    <x v="8"/>
    <x v="0"/>
    <x v="1"/>
  </r>
  <r>
    <n v="20974"/>
    <x v="0"/>
    <x v="1"/>
    <n v="10000"/>
    <n v="2"/>
    <x v="0"/>
    <x v="1"/>
    <s v="Yes"/>
    <n v="1"/>
    <x v="0"/>
    <x v="0"/>
    <x v="29"/>
    <x v="0"/>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0"/>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1"/>
    <x v="1"/>
  </r>
  <r>
    <n v="28379"/>
    <x v="0"/>
    <x v="1"/>
    <n v="30000"/>
    <n v="1"/>
    <x v="0"/>
    <x v="0"/>
    <s v="Yes"/>
    <n v="2"/>
    <x v="0"/>
    <x v="0"/>
    <x v="8"/>
    <x v="0"/>
    <x v="0"/>
  </r>
  <r>
    <n v="14865"/>
    <x v="1"/>
    <x v="1"/>
    <n v="40000"/>
    <n v="2"/>
    <x v="1"/>
    <x v="1"/>
    <s v="Yes"/>
    <n v="2"/>
    <x v="3"/>
    <x v="0"/>
    <x v="4"/>
    <x v="0"/>
    <x v="0"/>
  </r>
  <r>
    <n v="12663"/>
    <x v="0"/>
    <x v="0"/>
    <n v="90000"/>
    <n v="5"/>
    <x v="3"/>
    <x v="0"/>
    <s v="Yes"/>
    <n v="2"/>
    <x v="4"/>
    <x v="0"/>
    <x v="14"/>
    <x v="0"/>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0"/>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1"/>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1"/>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1"/>
    <x v="0"/>
  </r>
  <r>
    <n v="23608"/>
    <x v="0"/>
    <x v="0"/>
    <n v="150000"/>
    <n v="3"/>
    <x v="2"/>
    <x v="2"/>
    <s v="Yes"/>
    <n v="3"/>
    <x v="0"/>
    <x v="0"/>
    <x v="36"/>
    <x v="0"/>
    <x v="1"/>
  </r>
  <r>
    <n v="22538"/>
    <x v="1"/>
    <x v="0"/>
    <n v="10000"/>
    <n v="0"/>
    <x v="3"/>
    <x v="3"/>
    <s v="Yes"/>
    <n v="2"/>
    <x v="3"/>
    <x v="0"/>
    <x v="6"/>
    <x v="0"/>
    <x v="0"/>
  </r>
  <r>
    <n v="12332"/>
    <x v="0"/>
    <x v="1"/>
    <n v="90000"/>
    <n v="4"/>
    <x v="2"/>
    <x v="4"/>
    <s v="Yes"/>
    <n v="3"/>
    <x v="2"/>
    <x v="0"/>
    <x v="7"/>
    <x v="0"/>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1"/>
    <x v="1"/>
  </r>
  <r>
    <n v="23571"/>
    <x v="0"/>
    <x v="0"/>
    <n v="40000"/>
    <n v="2"/>
    <x v="0"/>
    <x v="4"/>
    <s v="Yes"/>
    <n v="2"/>
    <x v="0"/>
    <x v="1"/>
    <x v="29"/>
    <x v="1"/>
    <x v="1"/>
  </r>
  <r>
    <n v="19305"/>
    <x v="1"/>
    <x v="0"/>
    <n v="10000"/>
    <n v="2"/>
    <x v="2"/>
    <x v="3"/>
    <s v="Yes"/>
    <n v="1"/>
    <x v="0"/>
    <x v="0"/>
    <x v="13"/>
    <x v="0"/>
    <x v="1"/>
  </r>
  <r>
    <n v="22636"/>
    <x v="1"/>
    <x v="0"/>
    <n v="40000"/>
    <n v="0"/>
    <x v="0"/>
    <x v="1"/>
    <s v="No"/>
    <n v="0"/>
    <x v="0"/>
    <x v="0"/>
    <x v="13"/>
    <x v="1"/>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0"/>
    <x v="1"/>
  </r>
  <r>
    <n v="18140"/>
    <x v="0"/>
    <x v="1"/>
    <n v="130000"/>
    <n v="3"/>
    <x v="1"/>
    <x v="2"/>
    <s v="No"/>
    <n v="3"/>
    <x v="2"/>
    <x v="0"/>
    <x v="36"/>
    <x v="0"/>
    <x v="1"/>
  </r>
  <r>
    <n v="20417"/>
    <x v="0"/>
    <x v="1"/>
    <n v="30000"/>
    <n v="3"/>
    <x v="1"/>
    <x v="1"/>
    <s v="No"/>
    <n v="2"/>
    <x v="2"/>
    <x v="1"/>
    <x v="16"/>
    <x v="0"/>
    <x v="0"/>
  </r>
  <r>
    <n v="18267"/>
    <x v="0"/>
    <x v="1"/>
    <n v="60000"/>
    <n v="3"/>
    <x v="0"/>
    <x v="2"/>
    <s v="Yes"/>
    <n v="2"/>
    <x v="2"/>
    <x v="1"/>
    <x v="1"/>
    <x v="0"/>
    <x v="0"/>
  </r>
  <r>
    <n v="13620"/>
    <x v="1"/>
    <x v="1"/>
    <n v="70000"/>
    <n v="0"/>
    <x v="0"/>
    <x v="2"/>
    <s v="No"/>
    <n v="3"/>
    <x v="4"/>
    <x v="1"/>
    <x v="25"/>
    <x v="2"/>
    <x v="1"/>
  </r>
  <r>
    <n v="22974"/>
    <x v="0"/>
    <x v="0"/>
    <n v="30000"/>
    <n v="2"/>
    <x v="1"/>
    <x v="1"/>
    <s v="Yes"/>
    <n v="2"/>
    <x v="2"/>
    <x v="1"/>
    <x v="45"/>
    <x v="0"/>
    <x v="0"/>
  </r>
  <r>
    <n v="13586"/>
    <x v="0"/>
    <x v="1"/>
    <n v="80000"/>
    <n v="4"/>
    <x v="1"/>
    <x v="2"/>
    <s v="Yes"/>
    <n v="2"/>
    <x v="4"/>
    <x v="0"/>
    <x v="39"/>
    <x v="0"/>
    <x v="0"/>
  </r>
  <r>
    <n v="17978"/>
    <x v="0"/>
    <x v="1"/>
    <n v="40000"/>
    <n v="0"/>
    <x v="4"/>
    <x v="1"/>
    <s v="Yes"/>
    <n v="0"/>
    <x v="0"/>
    <x v="0"/>
    <x v="34"/>
    <x v="0"/>
    <x v="1"/>
  </r>
  <r>
    <n v="12581"/>
    <x v="1"/>
    <x v="0"/>
    <n v="10000"/>
    <n v="0"/>
    <x v="1"/>
    <x v="3"/>
    <s v="No"/>
    <n v="1"/>
    <x v="0"/>
    <x v="1"/>
    <x v="26"/>
    <x v="1"/>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0"/>
    <x v="0"/>
  </r>
  <r>
    <n v="27771"/>
    <x v="1"/>
    <x v="1"/>
    <n v="30000"/>
    <n v="1"/>
    <x v="0"/>
    <x v="1"/>
    <s v="Yes"/>
    <n v="1"/>
    <x v="3"/>
    <x v="0"/>
    <x v="32"/>
    <x v="0"/>
    <x v="1"/>
  </r>
  <r>
    <n v="26167"/>
    <x v="1"/>
    <x v="0"/>
    <n v="40000"/>
    <n v="2"/>
    <x v="0"/>
    <x v="4"/>
    <s v="No"/>
    <n v="1"/>
    <x v="2"/>
    <x v="1"/>
    <x v="39"/>
    <x v="0"/>
    <x v="1"/>
  </r>
  <r>
    <n v="25792"/>
    <x v="1"/>
    <x v="0"/>
    <n v="110000"/>
    <n v="3"/>
    <x v="0"/>
    <x v="4"/>
    <s v="Yes"/>
    <n v="4"/>
    <x v="4"/>
    <x v="0"/>
    <x v="39"/>
    <x v="1"/>
    <x v="0"/>
  </r>
  <r>
    <n v="11555"/>
    <x v="0"/>
    <x v="0"/>
    <n v="40000"/>
    <n v="1"/>
    <x v="0"/>
    <x v="1"/>
    <s v="Yes"/>
    <n v="0"/>
    <x v="0"/>
    <x v="0"/>
    <x v="48"/>
    <x v="0"/>
    <x v="0"/>
  </r>
  <r>
    <n v="22381"/>
    <x v="0"/>
    <x v="1"/>
    <n v="10000"/>
    <n v="1"/>
    <x v="4"/>
    <x v="3"/>
    <s v="Yes"/>
    <n v="0"/>
    <x v="0"/>
    <x v="0"/>
    <x v="20"/>
    <x v="0"/>
    <x v="0"/>
  </r>
  <r>
    <n v="17882"/>
    <x v="0"/>
    <x v="1"/>
    <n v="20000"/>
    <n v="1"/>
    <x v="4"/>
    <x v="1"/>
    <s v="Yes"/>
    <n v="0"/>
    <x v="0"/>
    <x v="0"/>
    <x v="20"/>
    <x v="0"/>
    <x v="0"/>
  </r>
  <r>
    <n v="22174"/>
    <x v="0"/>
    <x v="1"/>
    <n v="30000"/>
    <n v="3"/>
    <x v="2"/>
    <x v="0"/>
    <s v="Yes"/>
    <n v="2"/>
    <x v="2"/>
    <x v="1"/>
    <x v="9"/>
    <x v="1"/>
    <x v="1"/>
  </r>
  <r>
    <n v="22439"/>
    <x v="0"/>
    <x v="0"/>
    <n v="30000"/>
    <n v="0"/>
    <x v="0"/>
    <x v="1"/>
    <s v="Yes"/>
    <n v="0"/>
    <x v="0"/>
    <x v="0"/>
    <x v="34"/>
    <x v="0"/>
    <x v="1"/>
  </r>
  <r>
    <n v="18012"/>
    <x v="0"/>
    <x v="0"/>
    <n v="40000"/>
    <n v="1"/>
    <x v="0"/>
    <x v="0"/>
    <s v="Yes"/>
    <n v="0"/>
    <x v="0"/>
    <x v="0"/>
    <x v="3"/>
    <x v="0"/>
    <x v="0"/>
  </r>
  <r>
    <n v="27582"/>
    <x v="1"/>
    <x v="0"/>
    <n v="90000"/>
    <n v="2"/>
    <x v="0"/>
    <x v="2"/>
    <s v="No"/>
    <n v="0"/>
    <x v="0"/>
    <x v="1"/>
    <x v="4"/>
    <x v="1"/>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1"/>
    <x v="0"/>
  </r>
  <r>
    <n v="25266"/>
    <x v="1"/>
    <x v="0"/>
    <n v="30000"/>
    <n v="2"/>
    <x v="1"/>
    <x v="1"/>
    <s v="No"/>
    <n v="2"/>
    <x v="2"/>
    <x v="1"/>
    <x v="41"/>
    <x v="0"/>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0"/>
    <x v="0"/>
  </r>
  <r>
    <n v="14547"/>
    <x v="0"/>
    <x v="1"/>
    <n v="10000"/>
    <n v="2"/>
    <x v="1"/>
    <x v="3"/>
    <s v="Yes"/>
    <n v="0"/>
    <x v="3"/>
    <x v="0"/>
    <x v="36"/>
    <x v="0"/>
    <x v="0"/>
  </r>
  <r>
    <n v="24901"/>
    <x v="1"/>
    <x v="1"/>
    <n v="110000"/>
    <n v="0"/>
    <x v="1"/>
    <x v="4"/>
    <s v="No"/>
    <n v="3"/>
    <x v="4"/>
    <x v="1"/>
    <x v="21"/>
    <x v="1"/>
    <x v="1"/>
  </r>
  <r>
    <n v="27169"/>
    <x v="1"/>
    <x v="1"/>
    <n v="30000"/>
    <n v="0"/>
    <x v="2"/>
    <x v="3"/>
    <s v="Yes"/>
    <n v="1"/>
    <x v="1"/>
    <x v="0"/>
    <x v="17"/>
    <x v="0"/>
    <x v="1"/>
  </r>
  <r>
    <n v="14805"/>
    <x v="1"/>
    <x v="0"/>
    <n v="10000"/>
    <n v="3"/>
    <x v="3"/>
    <x v="3"/>
    <s v="Yes"/>
    <n v="2"/>
    <x v="0"/>
    <x v="0"/>
    <x v="1"/>
    <x v="0"/>
    <x v="0"/>
  </r>
  <r>
    <n v="15822"/>
    <x v="0"/>
    <x v="1"/>
    <n v="40000"/>
    <n v="2"/>
    <x v="0"/>
    <x v="4"/>
    <s v="Yes"/>
    <n v="2"/>
    <x v="0"/>
    <x v="1"/>
    <x v="41"/>
    <x v="0"/>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0"/>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0"/>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1"/>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1"/>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1"/>
    <x v="0"/>
  </r>
  <r>
    <n v="12236"/>
    <x v="0"/>
    <x v="0"/>
    <n v="20000"/>
    <n v="1"/>
    <x v="1"/>
    <x v="3"/>
    <s v="Yes"/>
    <n v="0"/>
    <x v="0"/>
    <x v="0"/>
    <x v="27"/>
    <x v="0"/>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1"/>
    <x v="1"/>
  </r>
  <r>
    <n v="19331"/>
    <x v="1"/>
    <x v="1"/>
    <n v="20000"/>
    <n v="2"/>
    <x v="2"/>
    <x v="3"/>
    <s v="Yes"/>
    <n v="1"/>
    <x v="0"/>
    <x v="0"/>
    <x v="8"/>
    <x v="0"/>
    <x v="0"/>
  </r>
  <r>
    <n v="17754"/>
    <x v="1"/>
    <x v="0"/>
    <n v="30000"/>
    <n v="3"/>
    <x v="0"/>
    <x v="1"/>
    <s v="Yes"/>
    <n v="0"/>
    <x v="0"/>
    <x v="0"/>
    <x v="30"/>
    <x v="0"/>
    <x v="1"/>
  </r>
  <r>
    <n v="11149"/>
    <x v="0"/>
    <x v="1"/>
    <n v="40000"/>
    <n v="2"/>
    <x v="0"/>
    <x v="4"/>
    <s v="Yes"/>
    <n v="2"/>
    <x v="0"/>
    <x v="1"/>
    <x v="27"/>
    <x v="0"/>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0"/>
    <x v="0"/>
  </r>
  <r>
    <n v="15612"/>
    <x v="1"/>
    <x v="1"/>
    <n v="30000"/>
    <n v="0"/>
    <x v="2"/>
    <x v="3"/>
    <s v="No"/>
    <n v="1"/>
    <x v="3"/>
    <x v="0"/>
    <x v="26"/>
    <x v="1"/>
    <x v="0"/>
  </r>
  <r>
    <n v="28323"/>
    <x v="1"/>
    <x v="1"/>
    <n v="70000"/>
    <n v="0"/>
    <x v="0"/>
    <x v="2"/>
    <s v="No"/>
    <n v="2"/>
    <x v="2"/>
    <x v="1"/>
    <x v="1"/>
    <x v="0"/>
    <x v="1"/>
  </r>
  <r>
    <n v="22634"/>
    <x v="1"/>
    <x v="0"/>
    <n v="40000"/>
    <n v="0"/>
    <x v="4"/>
    <x v="1"/>
    <s v="Yes"/>
    <n v="0"/>
    <x v="0"/>
    <x v="0"/>
    <x v="13"/>
    <x v="0"/>
    <x v="1"/>
  </r>
  <r>
    <n v="15665"/>
    <x v="0"/>
    <x v="0"/>
    <n v="30000"/>
    <n v="0"/>
    <x v="0"/>
    <x v="1"/>
    <s v="Yes"/>
    <n v="0"/>
    <x v="0"/>
    <x v="0"/>
    <x v="15"/>
    <x v="1"/>
    <x v="1"/>
  </r>
  <r>
    <n v="27585"/>
    <x v="0"/>
    <x v="0"/>
    <n v="90000"/>
    <n v="2"/>
    <x v="0"/>
    <x v="2"/>
    <s v="No"/>
    <n v="0"/>
    <x v="0"/>
    <x v="1"/>
    <x v="4"/>
    <x v="0"/>
    <x v="1"/>
  </r>
  <r>
    <n v="19748"/>
    <x v="0"/>
    <x v="1"/>
    <n v="20000"/>
    <n v="4"/>
    <x v="2"/>
    <x v="0"/>
    <s v="No"/>
    <n v="2"/>
    <x v="3"/>
    <x v="1"/>
    <x v="2"/>
    <x v="0"/>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1"/>
    <x v="0"/>
  </r>
  <r>
    <n v="28564"/>
    <x v="1"/>
    <x v="0"/>
    <n v="40000"/>
    <n v="2"/>
    <x v="1"/>
    <x v="1"/>
    <s v="Yes"/>
    <n v="0"/>
    <x v="3"/>
    <x v="0"/>
    <x v="6"/>
    <x v="0"/>
    <x v="1"/>
  </r>
  <r>
    <n v="28521"/>
    <x v="1"/>
    <x v="1"/>
    <n v="40000"/>
    <n v="0"/>
    <x v="4"/>
    <x v="1"/>
    <s v="No"/>
    <n v="0"/>
    <x v="0"/>
    <x v="0"/>
    <x v="4"/>
    <x v="1"/>
    <x v="1"/>
  </r>
  <r>
    <n v="15450"/>
    <x v="0"/>
    <x v="1"/>
    <n v="10000"/>
    <n v="1"/>
    <x v="4"/>
    <x v="1"/>
    <s v="Yes"/>
    <n v="0"/>
    <x v="0"/>
    <x v="0"/>
    <x v="43"/>
    <x v="0"/>
    <x v="0"/>
  </r>
  <r>
    <n v="25681"/>
    <x v="1"/>
    <x v="0"/>
    <n v="30000"/>
    <n v="0"/>
    <x v="1"/>
    <x v="1"/>
    <s v="No"/>
    <n v="1"/>
    <x v="1"/>
    <x v="0"/>
    <x v="23"/>
    <x v="0"/>
    <x v="1"/>
  </r>
  <r>
    <n v="19491"/>
    <x v="1"/>
    <x v="1"/>
    <n v="30000"/>
    <n v="2"/>
    <x v="1"/>
    <x v="1"/>
    <s v="Yes"/>
    <n v="2"/>
    <x v="0"/>
    <x v="0"/>
    <x v="0"/>
    <x v="0"/>
    <x v="0"/>
  </r>
  <r>
    <n v="26415"/>
    <x v="0"/>
    <x v="0"/>
    <n v="90000"/>
    <n v="4"/>
    <x v="3"/>
    <x v="0"/>
    <s v="Yes"/>
    <n v="4"/>
    <x v="4"/>
    <x v="0"/>
    <x v="7"/>
    <x v="0"/>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0"/>
    <x v="1"/>
  </r>
  <r>
    <n v="27650"/>
    <x v="0"/>
    <x v="1"/>
    <n v="70000"/>
    <n v="4"/>
    <x v="2"/>
    <x v="2"/>
    <s v="Yes"/>
    <n v="0"/>
    <x v="2"/>
    <x v="2"/>
    <x v="36"/>
    <x v="0"/>
    <x v="0"/>
  </r>
  <r>
    <n v="24981"/>
    <x v="0"/>
    <x v="1"/>
    <n v="60000"/>
    <n v="2"/>
    <x v="1"/>
    <x v="2"/>
    <s v="Yes"/>
    <n v="2"/>
    <x v="4"/>
    <x v="2"/>
    <x v="16"/>
    <x v="0"/>
    <x v="0"/>
  </r>
  <r>
    <n v="20678"/>
    <x v="1"/>
    <x v="0"/>
    <n v="60000"/>
    <n v="3"/>
    <x v="0"/>
    <x v="0"/>
    <s v="Yes"/>
    <n v="1"/>
    <x v="1"/>
    <x v="2"/>
    <x v="8"/>
    <x v="0"/>
    <x v="1"/>
  </r>
  <r>
    <n v="15302"/>
    <x v="1"/>
    <x v="0"/>
    <n v="70000"/>
    <n v="1"/>
    <x v="4"/>
    <x v="2"/>
    <s v="Yes"/>
    <n v="0"/>
    <x v="1"/>
    <x v="2"/>
    <x v="17"/>
    <x v="0"/>
    <x v="1"/>
  </r>
  <r>
    <n v="26012"/>
    <x v="0"/>
    <x v="1"/>
    <n v="80000"/>
    <n v="1"/>
    <x v="1"/>
    <x v="0"/>
    <s v="Yes"/>
    <n v="1"/>
    <x v="1"/>
    <x v="2"/>
    <x v="28"/>
    <x v="1"/>
    <x v="1"/>
  </r>
  <r>
    <n v="26575"/>
    <x v="1"/>
    <x v="0"/>
    <n v="40000"/>
    <n v="0"/>
    <x v="2"/>
    <x v="0"/>
    <s v="No"/>
    <n v="2"/>
    <x v="3"/>
    <x v="2"/>
    <x v="23"/>
    <x v="0"/>
    <x v="1"/>
  </r>
  <r>
    <n v="15559"/>
    <x v="0"/>
    <x v="1"/>
    <n v="60000"/>
    <n v="5"/>
    <x v="0"/>
    <x v="2"/>
    <s v="Yes"/>
    <n v="1"/>
    <x v="1"/>
    <x v="2"/>
    <x v="15"/>
    <x v="1"/>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1"/>
    <x v="1"/>
  </r>
  <r>
    <n v="24738"/>
    <x v="0"/>
    <x v="0"/>
    <n v="40000"/>
    <n v="1"/>
    <x v="1"/>
    <x v="1"/>
    <s v="Yes"/>
    <n v="1"/>
    <x v="3"/>
    <x v="2"/>
    <x v="36"/>
    <x v="0"/>
    <x v="1"/>
  </r>
  <r>
    <n v="16337"/>
    <x v="0"/>
    <x v="1"/>
    <n v="60000"/>
    <n v="0"/>
    <x v="1"/>
    <x v="0"/>
    <s v="No"/>
    <n v="2"/>
    <x v="3"/>
    <x v="2"/>
    <x v="19"/>
    <x v="1"/>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1"/>
    <x v="1"/>
  </r>
  <r>
    <n v="13353"/>
    <x v="1"/>
    <x v="0"/>
    <n v="60000"/>
    <n v="4"/>
    <x v="4"/>
    <x v="4"/>
    <s v="Yes"/>
    <n v="2"/>
    <x v="4"/>
    <x v="2"/>
    <x v="33"/>
    <x v="0"/>
    <x v="1"/>
  </r>
  <r>
    <n v="19399"/>
    <x v="1"/>
    <x v="1"/>
    <n v="40000"/>
    <n v="0"/>
    <x v="0"/>
    <x v="2"/>
    <s v="No"/>
    <n v="1"/>
    <x v="1"/>
    <x v="2"/>
    <x v="12"/>
    <x v="0"/>
    <x v="0"/>
  </r>
  <r>
    <n v="16154"/>
    <x v="0"/>
    <x v="0"/>
    <n v="70000"/>
    <n v="5"/>
    <x v="0"/>
    <x v="2"/>
    <s v="Yes"/>
    <n v="2"/>
    <x v="1"/>
    <x v="2"/>
    <x v="15"/>
    <x v="0"/>
    <x v="0"/>
  </r>
  <r>
    <n v="22219"/>
    <x v="0"/>
    <x v="0"/>
    <n v="60000"/>
    <n v="2"/>
    <x v="2"/>
    <x v="2"/>
    <s v="Yes"/>
    <n v="2"/>
    <x v="2"/>
    <x v="2"/>
    <x v="38"/>
    <x v="1"/>
    <x v="0"/>
  </r>
  <r>
    <n v="17269"/>
    <x v="1"/>
    <x v="1"/>
    <n v="60000"/>
    <n v="3"/>
    <x v="0"/>
    <x v="2"/>
    <s v="No"/>
    <n v="0"/>
    <x v="0"/>
    <x v="2"/>
    <x v="15"/>
    <x v="0"/>
    <x v="1"/>
  </r>
  <r>
    <n v="23586"/>
    <x v="0"/>
    <x v="0"/>
    <n v="80000"/>
    <n v="0"/>
    <x v="0"/>
    <x v="4"/>
    <s v="Yes"/>
    <n v="1"/>
    <x v="3"/>
    <x v="2"/>
    <x v="17"/>
    <x v="0"/>
    <x v="1"/>
  </r>
  <r>
    <n v="15740"/>
    <x v="0"/>
    <x v="1"/>
    <n v="80000"/>
    <n v="5"/>
    <x v="0"/>
    <x v="4"/>
    <s v="Yes"/>
    <n v="2"/>
    <x v="3"/>
    <x v="2"/>
    <x v="46"/>
    <x v="0"/>
    <x v="0"/>
  </r>
  <r>
    <n v="27638"/>
    <x v="1"/>
    <x v="1"/>
    <n v="100000"/>
    <n v="1"/>
    <x v="1"/>
    <x v="2"/>
    <s v="No"/>
    <n v="3"/>
    <x v="3"/>
    <x v="2"/>
    <x v="20"/>
    <x v="1"/>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0"/>
    <x v="0"/>
  </r>
  <r>
    <n v="16791"/>
    <x v="1"/>
    <x v="1"/>
    <n v="60000"/>
    <n v="5"/>
    <x v="0"/>
    <x v="4"/>
    <s v="Yes"/>
    <n v="3"/>
    <x v="4"/>
    <x v="2"/>
    <x v="14"/>
    <x v="0"/>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0"/>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0"/>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1"/>
    <x v="0"/>
  </r>
  <r>
    <n v="22294"/>
    <x v="1"/>
    <x v="0"/>
    <n v="70000"/>
    <n v="0"/>
    <x v="0"/>
    <x v="2"/>
    <s v="No"/>
    <n v="1"/>
    <x v="1"/>
    <x v="2"/>
    <x v="34"/>
    <x v="0"/>
    <x v="1"/>
  </r>
  <r>
    <n v="12195"/>
    <x v="1"/>
    <x v="0"/>
    <n v="70000"/>
    <n v="3"/>
    <x v="4"/>
    <x v="4"/>
    <s v="Yes"/>
    <n v="2"/>
    <x v="3"/>
    <x v="2"/>
    <x v="31"/>
    <x v="1"/>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1"/>
    <x v="1"/>
  </r>
  <r>
    <n v="19884"/>
    <x v="0"/>
    <x v="1"/>
    <n v="60000"/>
    <n v="2"/>
    <x v="2"/>
    <x v="2"/>
    <s v="Yes"/>
    <n v="2"/>
    <x v="1"/>
    <x v="2"/>
    <x v="10"/>
    <x v="0"/>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0"/>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1"/>
    <x v="0"/>
  </r>
  <r>
    <n v="24725"/>
    <x v="0"/>
    <x v="0"/>
    <n v="40000"/>
    <n v="3"/>
    <x v="1"/>
    <x v="1"/>
    <s v="Yes"/>
    <n v="0"/>
    <x v="3"/>
    <x v="2"/>
    <x v="23"/>
    <x v="0"/>
    <x v="0"/>
  </r>
  <r>
    <n v="23200"/>
    <x v="0"/>
    <x v="0"/>
    <n v="50000"/>
    <n v="3"/>
    <x v="0"/>
    <x v="0"/>
    <s v="Yes"/>
    <n v="2"/>
    <x v="0"/>
    <x v="2"/>
    <x v="3"/>
    <x v="1"/>
    <x v="0"/>
  </r>
  <r>
    <n v="15895"/>
    <x v="1"/>
    <x v="0"/>
    <n v="60000"/>
    <n v="2"/>
    <x v="0"/>
    <x v="4"/>
    <s v="Yes"/>
    <n v="0"/>
    <x v="4"/>
    <x v="2"/>
    <x v="7"/>
    <x v="0"/>
    <x v="0"/>
  </r>
  <r>
    <n v="18577"/>
    <x v="0"/>
    <x v="0"/>
    <n v="60000"/>
    <n v="0"/>
    <x v="4"/>
    <x v="2"/>
    <s v="Yes"/>
    <n v="0"/>
    <x v="0"/>
    <x v="2"/>
    <x v="8"/>
    <x v="1"/>
    <x v="0"/>
  </r>
  <r>
    <n v="27218"/>
    <x v="0"/>
    <x v="0"/>
    <n v="20000"/>
    <n v="2"/>
    <x v="3"/>
    <x v="1"/>
    <s v="No"/>
    <n v="0"/>
    <x v="0"/>
    <x v="2"/>
    <x v="28"/>
    <x v="0"/>
    <x v="0"/>
  </r>
  <r>
    <n v="18560"/>
    <x v="0"/>
    <x v="0"/>
    <n v="70000"/>
    <n v="2"/>
    <x v="4"/>
    <x v="2"/>
    <s v="Yes"/>
    <n v="0"/>
    <x v="1"/>
    <x v="2"/>
    <x v="17"/>
    <x v="1"/>
    <x v="1"/>
  </r>
  <r>
    <n v="25006"/>
    <x v="1"/>
    <x v="0"/>
    <n v="30000"/>
    <n v="0"/>
    <x v="1"/>
    <x v="0"/>
    <s v="Yes"/>
    <n v="1"/>
    <x v="2"/>
    <x v="2"/>
    <x v="26"/>
    <x v="2"/>
    <x v="0"/>
  </r>
  <r>
    <n v="17369"/>
    <x v="1"/>
    <x v="1"/>
    <n v="30000"/>
    <n v="0"/>
    <x v="1"/>
    <x v="0"/>
    <s v="Yes"/>
    <n v="1"/>
    <x v="2"/>
    <x v="2"/>
    <x v="40"/>
    <x v="2"/>
    <x v="0"/>
  </r>
  <r>
    <n v="14495"/>
    <x v="0"/>
    <x v="1"/>
    <n v="40000"/>
    <n v="3"/>
    <x v="1"/>
    <x v="2"/>
    <s v="No"/>
    <n v="2"/>
    <x v="2"/>
    <x v="2"/>
    <x v="9"/>
    <x v="1"/>
    <x v="1"/>
  </r>
  <r>
    <n v="18847"/>
    <x v="0"/>
    <x v="0"/>
    <n v="60000"/>
    <n v="2"/>
    <x v="4"/>
    <x v="4"/>
    <s v="Yes"/>
    <n v="2"/>
    <x v="2"/>
    <x v="2"/>
    <x v="43"/>
    <x v="0"/>
    <x v="0"/>
  </r>
  <r>
    <n v="14754"/>
    <x v="0"/>
    <x v="1"/>
    <n v="40000"/>
    <n v="1"/>
    <x v="1"/>
    <x v="1"/>
    <s v="Yes"/>
    <n v="1"/>
    <x v="3"/>
    <x v="2"/>
    <x v="28"/>
    <x v="1"/>
    <x v="1"/>
  </r>
  <r>
    <n v="23378"/>
    <x v="0"/>
    <x v="1"/>
    <n v="70000"/>
    <n v="1"/>
    <x v="1"/>
    <x v="0"/>
    <s v="Yes"/>
    <n v="1"/>
    <x v="1"/>
    <x v="2"/>
    <x v="20"/>
    <x v="0"/>
    <x v="1"/>
  </r>
  <r>
    <n v="26452"/>
    <x v="1"/>
    <x v="1"/>
    <n v="50000"/>
    <n v="3"/>
    <x v="4"/>
    <x v="4"/>
    <s v="Yes"/>
    <n v="2"/>
    <x v="4"/>
    <x v="2"/>
    <x v="45"/>
    <x v="0"/>
    <x v="0"/>
  </r>
  <r>
    <n v="20370"/>
    <x v="0"/>
    <x v="1"/>
    <n v="70000"/>
    <n v="3"/>
    <x v="3"/>
    <x v="0"/>
    <s v="Yes"/>
    <n v="2"/>
    <x v="2"/>
    <x v="2"/>
    <x v="31"/>
    <x v="1"/>
    <x v="0"/>
  </r>
  <r>
    <n v="20528"/>
    <x v="0"/>
    <x v="1"/>
    <n v="40000"/>
    <n v="2"/>
    <x v="3"/>
    <x v="0"/>
    <s v="Yes"/>
    <n v="2"/>
    <x v="1"/>
    <x v="2"/>
    <x v="10"/>
    <x v="0"/>
    <x v="0"/>
  </r>
  <r>
    <n v="23549"/>
    <x v="1"/>
    <x v="1"/>
    <n v="30000"/>
    <n v="0"/>
    <x v="2"/>
    <x v="0"/>
    <s v="Yes"/>
    <n v="2"/>
    <x v="2"/>
    <x v="2"/>
    <x v="25"/>
    <x v="2"/>
    <x v="0"/>
  </r>
  <r>
    <n v="21751"/>
    <x v="0"/>
    <x v="1"/>
    <n v="60000"/>
    <n v="3"/>
    <x v="4"/>
    <x v="4"/>
    <s v="Yes"/>
    <n v="2"/>
    <x v="3"/>
    <x v="2"/>
    <x v="18"/>
    <x v="0"/>
    <x v="0"/>
  </r>
  <r>
    <n v="21266"/>
    <x v="1"/>
    <x v="0"/>
    <n v="80000"/>
    <n v="0"/>
    <x v="0"/>
    <x v="4"/>
    <s v="Yes"/>
    <n v="1"/>
    <x v="3"/>
    <x v="2"/>
    <x v="17"/>
    <x v="0"/>
    <x v="1"/>
  </r>
  <r>
    <n v="13388"/>
    <x v="1"/>
    <x v="1"/>
    <n v="60000"/>
    <n v="2"/>
    <x v="1"/>
    <x v="2"/>
    <s v="Yes"/>
    <n v="1"/>
    <x v="4"/>
    <x v="2"/>
    <x v="16"/>
    <x v="0"/>
    <x v="0"/>
  </r>
  <r>
    <n v="18752"/>
    <x v="1"/>
    <x v="0"/>
    <n v="40000"/>
    <n v="0"/>
    <x v="2"/>
    <x v="0"/>
    <s v="Yes"/>
    <n v="1"/>
    <x v="2"/>
    <x v="2"/>
    <x v="23"/>
    <x v="1"/>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0"/>
    <x v="0"/>
  </r>
  <r>
    <n v="23089"/>
    <x v="0"/>
    <x v="1"/>
    <n v="40000"/>
    <n v="0"/>
    <x v="1"/>
    <x v="0"/>
    <s v="Yes"/>
    <n v="1"/>
    <x v="2"/>
    <x v="2"/>
    <x v="26"/>
    <x v="1"/>
    <x v="0"/>
  </r>
  <r>
    <n v="13749"/>
    <x v="0"/>
    <x v="1"/>
    <n v="80000"/>
    <n v="4"/>
    <x v="4"/>
    <x v="0"/>
    <s v="Yes"/>
    <n v="0"/>
    <x v="3"/>
    <x v="2"/>
    <x v="15"/>
    <x v="1"/>
    <x v="0"/>
  </r>
  <r>
    <n v="24943"/>
    <x v="0"/>
    <x v="1"/>
    <n v="60000"/>
    <n v="3"/>
    <x v="0"/>
    <x v="4"/>
    <s v="Yes"/>
    <n v="2"/>
    <x v="4"/>
    <x v="2"/>
    <x v="29"/>
    <x v="0"/>
    <x v="0"/>
  </r>
  <r>
    <n v="28667"/>
    <x v="1"/>
    <x v="1"/>
    <n v="70000"/>
    <n v="2"/>
    <x v="0"/>
    <x v="0"/>
    <s v="No"/>
    <n v="1"/>
    <x v="0"/>
    <x v="2"/>
    <x v="34"/>
    <x v="1"/>
    <x v="1"/>
  </r>
  <r>
    <n v="15194"/>
    <x v="1"/>
    <x v="1"/>
    <n v="120000"/>
    <n v="2"/>
    <x v="0"/>
    <x v="4"/>
    <s v="No"/>
    <n v="3"/>
    <x v="0"/>
    <x v="2"/>
    <x v="32"/>
    <x v="0"/>
    <x v="1"/>
  </r>
  <r>
    <n v="17436"/>
    <x v="0"/>
    <x v="1"/>
    <n v="60000"/>
    <n v="2"/>
    <x v="2"/>
    <x v="2"/>
    <s v="No"/>
    <n v="2"/>
    <x v="3"/>
    <x v="2"/>
    <x v="36"/>
    <x v="1"/>
    <x v="0"/>
  </r>
  <r>
    <n v="18935"/>
    <x v="0"/>
    <x v="0"/>
    <n v="130000"/>
    <n v="0"/>
    <x v="4"/>
    <x v="4"/>
    <s v="Yes"/>
    <n v="3"/>
    <x v="3"/>
    <x v="2"/>
    <x v="8"/>
    <x v="0"/>
    <x v="0"/>
  </r>
  <r>
    <n v="16871"/>
    <x v="0"/>
    <x v="0"/>
    <n v="90000"/>
    <n v="2"/>
    <x v="2"/>
    <x v="2"/>
    <s v="Yes"/>
    <n v="1"/>
    <x v="4"/>
    <x v="2"/>
    <x v="36"/>
    <x v="0"/>
    <x v="1"/>
  </r>
  <r>
    <n v="12100"/>
    <x v="1"/>
    <x v="1"/>
    <n v="60000"/>
    <n v="2"/>
    <x v="0"/>
    <x v="4"/>
    <s v="Yes"/>
    <n v="0"/>
    <x v="4"/>
    <x v="2"/>
    <x v="42"/>
    <x v="0"/>
    <x v="0"/>
  </r>
  <r>
    <n v="23158"/>
    <x v="0"/>
    <x v="0"/>
    <n v="60000"/>
    <n v="1"/>
    <x v="4"/>
    <x v="2"/>
    <s v="No"/>
    <n v="0"/>
    <x v="0"/>
    <x v="2"/>
    <x v="11"/>
    <x v="0"/>
    <x v="1"/>
  </r>
  <r>
    <n v="18545"/>
    <x v="0"/>
    <x v="1"/>
    <n v="40000"/>
    <n v="4"/>
    <x v="2"/>
    <x v="2"/>
    <s v="No"/>
    <n v="2"/>
    <x v="4"/>
    <x v="2"/>
    <x v="33"/>
    <x v="0"/>
    <x v="1"/>
  </r>
  <r>
    <n v="18391"/>
    <x v="1"/>
    <x v="0"/>
    <n v="80000"/>
    <n v="5"/>
    <x v="1"/>
    <x v="2"/>
    <s v="Yes"/>
    <n v="2"/>
    <x v="2"/>
    <x v="2"/>
    <x v="20"/>
    <x v="0"/>
    <x v="0"/>
  </r>
  <r>
    <n v="19812"/>
    <x v="1"/>
    <x v="0"/>
    <n v="70000"/>
    <n v="2"/>
    <x v="1"/>
    <x v="2"/>
    <s v="Yes"/>
    <n v="0"/>
    <x v="2"/>
    <x v="2"/>
    <x v="38"/>
    <x v="0"/>
    <x v="1"/>
  </r>
  <r>
    <n v="27660"/>
    <x v="0"/>
    <x v="1"/>
    <n v="80000"/>
    <n v="4"/>
    <x v="4"/>
    <x v="4"/>
    <s v="Yes"/>
    <n v="2"/>
    <x v="2"/>
    <x v="2"/>
    <x v="43"/>
    <x v="0"/>
    <x v="0"/>
  </r>
  <r>
    <n v="18058"/>
    <x v="1"/>
    <x v="0"/>
    <n v="20000"/>
    <n v="3"/>
    <x v="2"/>
    <x v="0"/>
    <s v="Yes"/>
    <n v="2"/>
    <x v="1"/>
    <x v="2"/>
    <x v="44"/>
    <x v="0"/>
    <x v="0"/>
  </r>
  <r>
    <n v="20343"/>
    <x v="0"/>
    <x v="0"/>
    <n v="90000"/>
    <n v="4"/>
    <x v="1"/>
    <x v="2"/>
    <s v="Yes"/>
    <n v="1"/>
    <x v="3"/>
    <x v="2"/>
    <x v="12"/>
    <x v="0"/>
    <x v="0"/>
  </r>
  <r>
    <n v="28997"/>
    <x v="1"/>
    <x v="1"/>
    <n v="40000"/>
    <n v="2"/>
    <x v="2"/>
    <x v="2"/>
    <s v="No"/>
    <n v="1"/>
    <x v="1"/>
    <x v="2"/>
    <x v="7"/>
    <x v="0"/>
    <x v="1"/>
  </r>
  <r>
    <n v="24398"/>
    <x v="0"/>
    <x v="1"/>
    <n v="130000"/>
    <n v="1"/>
    <x v="4"/>
    <x v="4"/>
    <s v="Yes"/>
    <n v="4"/>
    <x v="0"/>
    <x v="2"/>
    <x v="3"/>
    <x v="0"/>
    <x v="0"/>
  </r>
  <r>
    <n v="19002"/>
    <x v="0"/>
    <x v="0"/>
    <n v="60000"/>
    <n v="2"/>
    <x v="1"/>
    <x v="2"/>
    <s v="Yes"/>
    <n v="1"/>
    <x v="1"/>
    <x v="2"/>
    <x v="42"/>
    <x v="0"/>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1"/>
    <x v="1"/>
  </r>
  <r>
    <n v="25983"/>
    <x v="0"/>
    <x v="1"/>
    <n v="70000"/>
    <n v="0"/>
    <x v="0"/>
    <x v="2"/>
    <s v="No"/>
    <n v="1"/>
    <x v="0"/>
    <x v="2"/>
    <x v="1"/>
    <x v="0"/>
    <x v="0"/>
  </r>
  <r>
    <n v="14633"/>
    <x v="0"/>
    <x v="1"/>
    <n v="60000"/>
    <n v="1"/>
    <x v="1"/>
    <x v="0"/>
    <s v="Yes"/>
    <n v="1"/>
    <x v="1"/>
    <x v="2"/>
    <x v="20"/>
    <x v="1"/>
    <x v="0"/>
  </r>
  <r>
    <n v="22994"/>
    <x v="0"/>
    <x v="0"/>
    <n v="80000"/>
    <n v="0"/>
    <x v="0"/>
    <x v="4"/>
    <s v="Yes"/>
    <n v="1"/>
    <x v="3"/>
    <x v="2"/>
    <x v="17"/>
    <x v="0"/>
    <x v="1"/>
  </r>
  <r>
    <n v="22983"/>
    <x v="1"/>
    <x v="0"/>
    <n v="30000"/>
    <n v="0"/>
    <x v="3"/>
    <x v="1"/>
    <s v="Yes"/>
    <n v="2"/>
    <x v="2"/>
    <x v="2"/>
    <x v="40"/>
    <x v="1"/>
    <x v="0"/>
  </r>
  <r>
    <n v="25184"/>
    <x v="1"/>
    <x v="1"/>
    <n v="110000"/>
    <n v="1"/>
    <x v="1"/>
    <x v="2"/>
    <s v="Yes"/>
    <n v="4"/>
    <x v="2"/>
    <x v="2"/>
    <x v="12"/>
    <x v="0"/>
    <x v="1"/>
  </r>
  <r>
    <n v="14469"/>
    <x v="0"/>
    <x v="0"/>
    <n v="100000"/>
    <n v="3"/>
    <x v="1"/>
    <x v="2"/>
    <s v="Yes"/>
    <n v="4"/>
    <x v="3"/>
    <x v="2"/>
    <x v="12"/>
    <x v="1"/>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0"/>
    <x v="0"/>
  </r>
  <r>
    <n v="25943"/>
    <x v="1"/>
    <x v="0"/>
    <n v="70000"/>
    <n v="0"/>
    <x v="1"/>
    <x v="0"/>
    <s v="No"/>
    <n v="2"/>
    <x v="0"/>
    <x v="2"/>
    <x v="40"/>
    <x v="2"/>
    <x v="1"/>
  </r>
  <r>
    <n v="22127"/>
    <x v="0"/>
    <x v="1"/>
    <n v="60000"/>
    <n v="3"/>
    <x v="4"/>
    <x v="4"/>
    <s v="Yes"/>
    <n v="2"/>
    <x v="3"/>
    <x v="2"/>
    <x v="41"/>
    <x v="1"/>
    <x v="0"/>
  </r>
  <r>
    <n v="20414"/>
    <x v="0"/>
    <x v="0"/>
    <n v="60000"/>
    <n v="0"/>
    <x v="1"/>
    <x v="0"/>
    <s v="Yes"/>
    <n v="2"/>
    <x v="2"/>
    <x v="2"/>
    <x v="19"/>
    <x v="1"/>
    <x v="0"/>
  </r>
  <r>
    <n v="23672"/>
    <x v="0"/>
    <x v="0"/>
    <n v="60000"/>
    <n v="3"/>
    <x v="4"/>
    <x v="4"/>
    <s v="Yes"/>
    <n v="2"/>
    <x v="3"/>
    <x v="2"/>
    <x v="41"/>
    <x v="1"/>
    <x v="0"/>
  </r>
  <r>
    <n v="29255"/>
    <x v="1"/>
    <x v="1"/>
    <n v="80000"/>
    <n v="3"/>
    <x v="1"/>
    <x v="2"/>
    <s v="No"/>
    <n v="1"/>
    <x v="3"/>
    <x v="2"/>
    <x v="36"/>
    <x v="1"/>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0"/>
    <x v="0"/>
  </r>
  <r>
    <n v="24745"/>
    <x v="1"/>
    <x v="0"/>
    <n v="30000"/>
    <n v="2"/>
    <x v="2"/>
    <x v="0"/>
    <s v="No"/>
    <n v="2"/>
    <x v="0"/>
    <x v="2"/>
    <x v="38"/>
    <x v="1"/>
    <x v="0"/>
  </r>
  <r>
    <n v="29237"/>
    <x v="1"/>
    <x v="0"/>
    <n v="120000"/>
    <n v="4"/>
    <x v="1"/>
    <x v="2"/>
    <s v="Yes"/>
    <n v="3"/>
    <x v="2"/>
    <x v="2"/>
    <x v="1"/>
    <x v="0"/>
    <x v="1"/>
  </r>
  <r>
    <n v="15272"/>
    <x v="1"/>
    <x v="1"/>
    <n v="40000"/>
    <n v="0"/>
    <x v="2"/>
    <x v="0"/>
    <s v="No"/>
    <n v="2"/>
    <x v="3"/>
    <x v="2"/>
    <x v="25"/>
    <x v="1"/>
    <x v="0"/>
  </r>
  <r>
    <n v="18949"/>
    <x v="1"/>
    <x v="1"/>
    <n v="70000"/>
    <n v="0"/>
    <x v="4"/>
    <x v="4"/>
    <s v="Yes"/>
    <n v="2"/>
    <x v="2"/>
    <x v="2"/>
    <x v="50"/>
    <x v="0"/>
    <x v="1"/>
  </r>
  <r>
    <n v="14507"/>
    <x v="0"/>
    <x v="1"/>
    <n v="100000"/>
    <n v="2"/>
    <x v="4"/>
    <x v="4"/>
    <s v="Yes"/>
    <n v="3"/>
    <x v="3"/>
    <x v="2"/>
    <x v="27"/>
    <x v="0"/>
    <x v="0"/>
  </r>
  <r>
    <n v="25886"/>
    <x v="0"/>
    <x v="0"/>
    <n v="60000"/>
    <n v="2"/>
    <x v="1"/>
    <x v="2"/>
    <s v="Yes"/>
    <n v="2"/>
    <x v="1"/>
    <x v="2"/>
    <x v="16"/>
    <x v="0"/>
    <x v="1"/>
  </r>
  <r>
    <n v="21441"/>
    <x v="0"/>
    <x v="1"/>
    <n v="50000"/>
    <n v="4"/>
    <x v="0"/>
    <x v="4"/>
    <s v="Yes"/>
    <n v="2"/>
    <x v="4"/>
    <x v="2"/>
    <x v="46"/>
    <x v="0"/>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1"/>
    <x v="0"/>
  </r>
  <r>
    <n v="22010"/>
    <x v="1"/>
    <x v="1"/>
    <n v="40000"/>
    <n v="0"/>
    <x v="2"/>
    <x v="0"/>
    <s v="Yes"/>
    <n v="2"/>
    <x v="2"/>
    <x v="2"/>
    <x v="23"/>
    <x v="0"/>
    <x v="0"/>
  </r>
  <r>
    <n v="25872"/>
    <x v="1"/>
    <x v="0"/>
    <n v="70000"/>
    <n v="2"/>
    <x v="0"/>
    <x v="4"/>
    <s v="No"/>
    <n v="1"/>
    <x v="1"/>
    <x v="2"/>
    <x v="7"/>
    <x v="0"/>
    <x v="1"/>
  </r>
  <r>
    <n v="19164"/>
    <x v="1"/>
    <x v="0"/>
    <n v="70000"/>
    <n v="0"/>
    <x v="0"/>
    <x v="2"/>
    <s v="No"/>
    <n v="1"/>
    <x v="1"/>
    <x v="2"/>
    <x v="13"/>
    <x v="0"/>
    <x v="1"/>
  </r>
  <r>
    <n v="18435"/>
    <x v="1"/>
    <x v="0"/>
    <n v="70000"/>
    <n v="5"/>
    <x v="4"/>
    <x v="4"/>
    <s v="Yes"/>
    <n v="2"/>
    <x v="4"/>
    <x v="2"/>
    <x v="41"/>
    <x v="0"/>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1"/>
    <x v="1"/>
  </r>
  <r>
    <n v="26236"/>
    <x v="0"/>
    <x v="0"/>
    <n v="40000"/>
    <n v="3"/>
    <x v="1"/>
    <x v="1"/>
    <s v="Yes"/>
    <n v="1"/>
    <x v="0"/>
    <x v="2"/>
    <x v="23"/>
    <x v="0"/>
    <x v="0"/>
  </r>
  <r>
    <n v="17531"/>
    <x v="0"/>
    <x v="1"/>
    <n v="60000"/>
    <n v="2"/>
    <x v="2"/>
    <x v="2"/>
    <s v="No"/>
    <n v="2"/>
    <x v="2"/>
    <x v="2"/>
    <x v="5"/>
    <x v="0"/>
    <x v="0"/>
  </r>
  <r>
    <n v="12964"/>
    <x v="0"/>
    <x v="1"/>
    <n v="70000"/>
    <n v="1"/>
    <x v="1"/>
    <x v="0"/>
    <s v="Yes"/>
    <n v="1"/>
    <x v="0"/>
    <x v="2"/>
    <x v="20"/>
    <x v="1"/>
    <x v="0"/>
  </r>
  <r>
    <n v="19133"/>
    <x v="1"/>
    <x v="1"/>
    <n v="50000"/>
    <n v="2"/>
    <x v="0"/>
    <x v="0"/>
    <s v="Yes"/>
    <n v="1"/>
    <x v="1"/>
    <x v="2"/>
    <x v="13"/>
    <x v="0"/>
    <x v="1"/>
  </r>
  <r>
    <n v="24643"/>
    <x v="1"/>
    <x v="0"/>
    <n v="60000"/>
    <n v="4"/>
    <x v="0"/>
    <x v="4"/>
    <s v="Yes"/>
    <n v="2"/>
    <x v="4"/>
    <x v="2"/>
    <x v="18"/>
    <x v="0"/>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1"/>
    <x v="0"/>
  </r>
  <r>
    <n v="17864"/>
    <x v="0"/>
    <x v="0"/>
    <n v="60000"/>
    <n v="1"/>
    <x v="1"/>
    <x v="0"/>
    <s v="Yes"/>
    <n v="1"/>
    <x v="1"/>
    <x v="2"/>
    <x v="30"/>
    <x v="1"/>
    <x v="1"/>
  </r>
  <r>
    <n v="20505"/>
    <x v="0"/>
    <x v="0"/>
    <n v="40000"/>
    <n v="5"/>
    <x v="2"/>
    <x v="2"/>
    <s v="No"/>
    <n v="2"/>
    <x v="4"/>
    <x v="2"/>
    <x v="33"/>
    <x v="0"/>
    <x v="0"/>
  </r>
  <r>
    <n v="14592"/>
    <x v="0"/>
    <x v="0"/>
    <n v="60000"/>
    <n v="0"/>
    <x v="4"/>
    <x v="2"/>
    <s v="Yes"/>
    <n v="0"/>
    <x v="0"/>
    <x v="2"/>
    <x v="8"/>
    <x v="0"/>
    <x v="0"/>
  </r>
  <r>
    <n v="22227"/>
    <x v="0"/>
    <x v="0"/>
    <n v="60000"/>
    <n v="2"/>
    <x v="2"/>
    <x v="2"/>
    <s v="Yes"/>
    <n v="2"/>
    <x v="2"/>
    <x v="2"/>
    <x v="5"/>
    <x v="0"/>
    <x v="0"/>
  </r>
  <r>
    <n v="21471"/>
    <x v="0"/>
    <x v="1"/>
    <n v="70000"/>
    <n v="2"/>
    <x v="1"/>
    <x v="2"/>
    <s v="Yes"/>
    <n v="1"/>
    <x v="4"/>
    <x v="2"/>
    <x v="14"/>
    <x v="0"/>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0"/>
    <x v="0"/>
  </r>
  <r>
    <n v="21770"/>
    <x v="0"/>
    <x v="1"/>
    <n v="60000"/>
    <n v="4"/>
    <x v="0"/>
    <x v="4"/>
    <s v="Yes"/>
    <n v="2"/>
    <x v="4"/>
    <x v="2"/>
    <x v="2"/>
    <x v="0"/>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1"/>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1"/>
    <x v="1"/>
  </r>
  <r>
    <n v="25970"/>
    <x v="1"/>
    <x v="0"/>
    <n v="60000"/>
    <n v="4"/>
    <x v="0"/>
    <x v="0"/>
    <s v="No"/>
    <n v="2"/>
    <x v="0"/>
    <x v="2"/>
    <x v="3"/>
    <x v="0"/>
    <x v="1"/>
  </r>
  <r>
    <n v="28068"/>
    <x v="1"/>
    <x v="0"/>
    <n v="80000"/>
    <n v="3"/>
    <x v="4"/>
    <x v="2"/>
    <s v="No"/>
    <n v="0"/>
    <x v="0"/>
    <x v="2"/>
    <x v="4"/>
    <x v="0"/>
    <x v="1"/>
  </r>
  <r>
    <n v="18390"/>
    <x v="0"/>
    <x v="1"/>
    <n v="80000"/>
    <n v="5"/>
    <x v="1"/>
    <x v="2"/>
    <s v="Yes"/>
    <n v="2"/>
    <x v="0"/>
    <x v="2"/>
    <x v="20"/>
    <x v="1"/>
    <x v="0"/>
  </r>
  <r>
    <n v="29112"/>
    <x v="1"/>
    <x v="1"/>
    <n v="60000"/>
    <n v="0"/>
    <x v="1"/>
    <x v="2"/>
    <s v="No"/>
    <n v="2"/>
    <x v="3"/>
    <x v="2"/>
    <x v="25"/>
    <x v="1"/>
    <x v="0"/>
  </r>
  <r>
    <n v="14090"/>
    <x v="0"/>
    <x v="0"/>
    <n v="30000"/>
    <n v="0"/>
    <x v="3"/>
    <x v="1"/>
    <s v="No"/>
    <n v="2"/>
    <x v="0"/>
    <x v="2"/>
    <x v="26"/>
    <x v="2"/>
    <x v="0"/>
  </r>
  <r>
    <n v="27040"/>
    <x v="0"/>
    <x v="1"/>
    <n v="20000"/>
    <n v="2"/>
    <x v="3"/>
    <x v="1"/>
    <s v="Yes"/>
    <n v="2"/>
    <x v="3"/>
    <x v="2"/>
    <x v="38"/>
    <x v="1"/>
    <x v="0"/>
  </r>
  <r>
    <n v="23479"/>
    <x v="1"/>
    <x v="1"/>
    <n v="90000"/>
    <n v="0"/>
    <x v="1"/>
    <x v="2"/>
    <s v="No"/>
    <n v="2"/>
    <x v="0"/>
    <x v="2"/>
    <x v="1"/>
    <x v="1"/>
    <x v="1"/>
  </r>
  <r>
    <n v="16795"/>
    <x v="0"/>
    <x v="0"/>
    <n v="70000"/>
    <n v="4"/>
    <x v="0"/>
    <x v="4"/>
    <s v="Yes"/>
    <n v="1"/>
    <x v="3"/>
    <x v="2"/>
    <x v="14"/>
    <x v="0"/>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0"/>
    <x v="0"/>
  </r>
  <r>
    <n v="20296"/>
    <x v="1"/>
    <x v="0"/>
    <n v="60000"/>
    <n v="0"/>
    <x v="1"/>
    <x v="0"/>
    <s v="No"/>
    <n v="1"/>
    <x v="3"/>
    <x v="2"/>
    <x v="6"/>
    <x v="0"/>
    <x v="1"/>
  </r>
  <r>
    <n v="17546"/>
    <x v="0"/>
    <x v="0"/>
    <n v="70000"/>
    <n v="1"/>
    <x v="1"/>
    <x v="0"/>
    <s v="Yes"/>
    <n v="1"/>
    <x v="0"/>
    <x v="2"/>
    <x v="20"/>
    <x v="1"/>
    <x v="1"/>
  </r>
  <r>
    <n v="18069"/>
    <x v="0"/>
    <x v="1"/>
    <n v="70000"/>
    <n v="5"/>
    <x v="0"/>
    <x v="4"/>
    <s v="Yes"/>
    <n v="4"/>
    <x v="4"/>
    <x v="2"/>
    <x v="2"/>
    <x v="0"/>
    <x v="0"/>
  </r>
  <r>
    <n v="23712"/>
    <x v="1"/>
    <x v="0"/>
    <n v="70000"/>
    <n v="2"/>
    <x v="0"/>
    <x v="4"/>
    <s v="Yes"/>
    <n v="1"/>
    <x v="4"/>
    <x v="2"/>
    <x v="14"/>
    <x v="0"/>
    <x v="0"/>
  </r>
  <r>
    <n v="23358"/>
    <x v="0"/>
    <x v="1"/>
    <n v="60000"/>
    <n v="0"/>
    <x v="2"/>
    <x v="2"/>
    <s v="Yes"/>
    <n v="2"/>
    <x v="2"/>
    <x v="2"/>
    <x v="21"/>
    <x v="0"/>
    <x v="1"/>
  </r>
  <r>
    <n v="20518"/>
    <x v="0"/>
    <x v="0"/>
    <n v="70000"/>
    <n v="2"/>
    <x v="1"/>
    <x v="2"/>
    <s v="Yes"/>
    <n v="1"/>
    <x v="4"/>
    <x v="2"/>
    <x v="7"/>
    <x v="0"/>
    <x v="0"/>
  </r>
  <r>
    <n v="28026"/>
    <x v="0"/>
    <x v="0"/>
    <n v="40000"/>
    <n v="2"/>
    <x v="2"/>
    <x v="2"/>
    <s v="No"/>
    <n v="2"/>
    <x v="1"/>
    <x v="2"/>
    <x v="14"/>
    <x v="0"/>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0"/>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1"/>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1"/>
    <x v="1"/>
  </r>
  <r>
    <n v="26625"/>
    <x v="1"/>
    <x v="0"/>
    <n v="60000"/>
    <n v="0"/>
    <x v="4"/>
    <x v="2"/>
    <s v="Yes"/>
    <n v="1"/>
    <x v="1"/>
    <x v="2"/>
    <x v="13"/>
    <x v="0"/>
    <x v="1"/>
  </r>
  <r>
    <n v="23027"/>
    <x v="1"/>
    <x v="1"/>
    <n v="130000"/>
    <n v="1"/>
    <x v="0"/>
    <x v="4"/>
    <s v="No"/>
    <n v="4"/>
    <x v="0"/>
    <x v="2"/>
    <x v="20"/>
    <x v="1"/>
    <x v="0"/>
  </r>
  <r>
    <n v="16867"/>
    <x v="1"/>
    <x v="0"/>
    <n v="130000"/>
    <n v="1"/>
    <x v="0"/>
    <x v="4"/>
    <s v="No"/>
    <n v="3"/>
    <x v="0"/>
    <x v="2"/>
    <x v="12"/>
    <x v="0"/>
    <x v="1"/>
  </r>
  <r>
    <n v="14514"/>
    <x v="1"/>
    <x v="0"/>
    <n v="30000"/>
    <n v="0"/>
    <x v="1"/>
    <x v="0"/>
    <s v="Yes"/>
    <n v="1"/>
    <x v="2"/>
    <x v="2"/>
    <x v="22"/>
    <x v="1"/>
    <x v="0"/>
  </r>
  <r>
    <n v="19634"/>
    <x v="0"/>
    <x v="1"/>
    <n v="40000"/>
    <n v="0"/>
    <x v="2"/>
    <x v="0"/>
    <s v="Yes"/>
    <n v="1"/>
    <x v="2"/>
    <x v="2"/>
    <x v="23"/>
    <x v="1"/>
    <x v="0"/>
  </r>
  <r>
    <n v="18504"/>
    <x v="0"/>
    <x v="1"/>
    <n v="70000"/>
    <n v="2"/>
    <x v="3"/>
    <x v="0"/>
    <s v="No"/>
    <n v="2"/>
    <x v="3"/>
    <x v="2"/>
    <x v="38"/>
    <x v="0"/>
    <x v="0"/>
  </r>
  <r>
    <n v="28799"/>
    <x v="1"/>
    <x v="0"/>
    <n v="40000"/>
    <n v="2"/>
    <x v="1"/>
    <x v="1"/>
    <s v="No"/>
    <n v="1"/>
    <x v="3"/>
    <x v="2"/>
    <x v="15"/>
    <x v="0"/>
    <x v="1"/>
  </r>
  <r>
    <n v="11225"/>
    <x v="0"/>
    <x v="0"/>
    <n v="60000"/>
    <n v="2"/>
    <x v="1"/>
    <x v="2"/>
    <s v="Yes"/>
    <n v="1"/>
    <x v="4"/>
    <x v="2"/>
    <x v="10"/>
    <x v="0"/>
    <x v="0"/>
  </r>
  <r>
    <n v="17657"/>
    <x v="0"/>
    <x v="1"/>
    <n v="40000"/>
    <n v="4"/>
    <x v="1"/>
    <x v="1"/>
    <s v="No"/>
    <n v="0"/>
    <x v="0"/>
    <x v="2"/>
    <x v="25"/>
    <x v="2"/>
    <x v="0"/>
  </r>
  <r>
    <n v="14913"/>
    <x v="0"/>
    <x v="0"/>
    <n v="40000"/>
    <n v="1"/>
    <x v="1"/>
    <x v="1"/>
    <s v="Yes"/>
    <n v="1"/>
    <x v="3"/>
    <x v="2"/>
    <x v="28"/>
    <x v="1"/>
    <x v="1"/>
  </r>
  <r>
    <n v="14077"/>
    <x v="1"/>
    <x v="1"/>
    <n v="30000"/>
    <n v="0"/>
    <x v="2"/>
    <x v="0"/>
    <s v="Yes"/>
    <n v="2"/>
    <x v="2"/>
    <x v="2"/>
    <x v="25"/>
    <x v="2"/>
    <x v="0"/>
  </r>
  <r>
    <n v="13296"/>
    <x v="0"/>
    <x v="1"/>
    <n v="110000"/>
    <n v="1"/>
    <x v="0"/>
    <x v="4"/>
    <s v="Yes"/>
    <n v="3"/>
    <x v="2"/>
    <x v="2"/>
    <x v="12"/>
    <x v="0"/>
    <x v="0"/>
  </r>
  <r>
    <n v="20535"/>
    <x v="0"/>
    <x v="0"/>
    <n v="70000"/>
    <n v="4"/>
    <x v="1"/>
    <x v="2"/>
    <s v="Yes"/>
    <n v="1"/>
    <x v="4"/>
    <x v="2"/>
    <x v="16"/>
    <x v="0"/>
    <x v="0"/>
  </r>
  <r>
    <n v="12452"/>
    <x v="0"/>
    <x v="1"/>
    <n v="60000"/>
    <n v="4"/>
    <x v="4"/>
    <x v="0"/>
    <s v="Yes"/>
    <n v="0"/>
    <x v="3"/>
    <x v="2"/>
    <x v="15"/>
    <x v="0"/>
    <x v="1"/>
  </r>
  <r>
    <n v="28043"/>
    <x v="0"/>
    <x v="0"/>
    <n v="60000"/>
    <n v="2"/>
    <x v="0"/>
    <x v="4"/>
    <s v="Yes"/>
    <n v="0"/>
    <x v="4"/>
    <x v="2"/>
    <x v="16"/>
    <x v="0"/>
    <x v="0"/>
  </r>
  <r>
    <n v="12957"/>
    <x v="1"/>
    <x v="0"/>
    <n v="70000"/>
    <n v="1"/>
    <x v="0"/>
    <x v="2"/>
    <s v="No"/>
    <n v="1"/>
    <x v="0"/>
    <x v="2"/>
    <x v="20"/>
    <x v="0"/>
    <x v="0"/>
  </r>
  <r>
    <n v="15412"/>
    <x v="0"/>
    <x v="1"/>
    <n v="130000"/>
    <n v="2"/>
    <x v="4"/>
    <x v="4"/>
    <s v="Yes"/>
    <n v="3"/>
    <x v="1"/>
    <x v="2"/>
    <x v="45"/>
    <x v="1"/>
    <x v="0"/>
  </r>
  <r>
    <n v="20514"/>
    <x v="0"/>
    <x v="0"/>
    <n v="70000"/>
    <n v="2"/>
    <x v="1"/>
    <x v="2"/>
    <s v="Yes"/>
    <n v="1"/>
    <x v="1"/>
    <x v="2"/>
    <x v="14"/>
    <x v="0"/>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1"/>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0"/>
    <x v="0"/>
  </r>
  <r>
    <n v="20657"/>
    <x v="1"/>
    <x v="1"/>
    <n v="50000"/>
    <n v="2"/>
    <x v="0"/>
    <x v="0"/>
    <s v="Yes"/>
    <n v="0"/>
    <x v="1"/>
    <x v="2"/>
    <x v="34"/>
    <x v="0"/>
    <x v="1"/>
  </r>
  <r>
    <n v="12882"/>
    <x v="0"/>
    <x v="1"/>
    <n v="50000"/>
    <n v="1"/>
    <x v="4"/>
    <x v="0"/>
    <s v="Yes"/>
    <n v="0"/>
    <x v="0"/>
    <x v="2"/>
    <x v="6"/>
    <x v="1"/>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0"/>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1"/>
    <x v="1"/>
  </r>
  <r>
    <n v="29030"/>
    <x v="0"/>
    <x v="1"/>
    <n v="70000"/>
    <n v="2"/>
    <x v="3"/>
    <x v="0"/>
    <s v="Yes"/>
    <n v="2"/>
    <x v="4"/>
    <x v="2"/>
    <x v="9"/>
    <x v="0"/>
    <x v="0"/>
  </r>
  <r>
    <n v="26490"/>
    <x v="1"/>
    <x v="1"/>
    <n v="70000"/>
    <n v="2"/>
    <x v="0"/>
    <x v="4"/>
    <s v="No"/>
    <n v="1"/>
    <x v="1"/>
    <x v="2"/>
    <x v="14"/>
    <x v="0"/>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0"/>
    <x v="0"/>
  </r>
  <r>
    <n v="19660"/>
    <x v="0"/>
    <x v="1"/>
    <n v="80000"/>
    <n v="4"/>
    <x v="0"/>
    <x v="4"/>
    <s v="Yes"/>
    <n v="0"/>
    <x v="0"/>
    <x v="2"/>
    <x v="1"/>
    <x v="1"/>
    <x v="0"/>
  </r>
  <r>
    <n v="16112"/>
    <x v="1"/>
    <x v="1"/>
    <n v="70000"/>
    <n v="4"/>
    <x v="0"/>
    <x v="2"/>
    <s v="Yes"/>
    <n v="2"/>
    <x v="1"/>
    <x v="2"/>
    <x v="1"/>
    <x v="0"/>
    <x v="1"/>
  </r>
  <r>
    <n v="20698"/>
    <x v="0"/>
    <x v="1"/>
    <n v="60000"/>
    <n v="4"/>
    <x v="0"/>
    <x v="0"/>
    <s v="Yes"/>
    <n v="3"/>
    <x v="2"/>
    <x v="2"/>
    <x v="0"/>
    <x v="1"/>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0"/>
    <x v="1"/>
  </r>
  <r>
    <n v="26270"/>
    <x v="1"/>
    <x v="0"/>
    <n v="20000"/>
    <n v="2"/>
    <x v="3"/>
    <x v="1"/>
    <s v="Yes"/>
    <n v="2"/>
    <x v="3"/>
    <x v="2"/>
    <x v="38"/>
    <x v="1"/>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0"/>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1"/>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0"/>
    <x v="0"/>
  </r>
  <r>
    <n v="20376"/>
    <x v="1"/>
    <x v="0"/>
    <n v="70000"/>
    <n v="3"/>
    <x v="4"/>
    <x v="4"/>
    <s v="Yes"/>
    <n v="2"/>
    <x v="2"/>
    <x v="2"/>
    <x v="31"/>
    <x v="0"/>
    <x v="1"/>
  </r>
  <r>
    <n v="25954"/>
    <x v="0"/>
    <x v="1"/>
    <n v="60000"/>
    <n v="0"/>
    <x v="1"/>
    <x v="0"/>
    <s v="No"/>
    <n v="2"/>
    <x v="3"/>
    <x v="2"/>
    <x v="23"/>
    <x v="0"/>
    <x v="0"/>
  </r>
  <r>
    <n v="15749"/>
    <x v="1"/>
    <x v="0"/>
    <n v="70000"/>
    <n v="4"/>
    <x v="0"/>
    <x v="4"/>
    <s v="Yes"/>
    <n v="2"/>
    <x v="4"/>
    <x v="2"/>
    <x v="33"/>
    <x v="0"/>
    <x v="0"/>
  </r>
  <r>
    <n v="25899"/>
    <x v="0"/>
    <x v="0"/>
    <n v="70000"/>
    <n v="2"/>
    <x v="2"/>
    <x v="2"/>
    <s v="Yes"/>
    <n v="2"/>
    <x v="4"/>
    <x v="2"/>
    <x v="39"/>
    <x v="0"/>
    <x v="0"/>
  </r>
  <r>
    <n v="13351"/>
    <x v="1"/>
    <x v="0"/>
    <n v="70000"/>
    <n v="4"/>
    <x v="0"/>
    <x v="4"/>
    <s v="Yes"/>
    <n v="2"/>
    <x v="3"/>
    <x v="2"/>
    <x v="24"/>
    <x v="0"/>
    <x v="1"/>
  </r>
  <r>
    <n v="23333"/>
    <x v="0"/>
    <x v="1"/>
    <n v="40000"/>
    <n v="0"/>
    <x v="1"/>
    <x v="0"/>
    <s v="No"/>
    <n v="2"/>
    <x v="3"/>
    <x v="2"/>
    <x v="25"/>
    <x v="2"/>
    <x v="0"/>
  </r>
  <r>
    <n v="21660"/>
    <x v="0"/>
    <x v="0"/>
    <n v="60000"/>
    <n v="3"/>
    <x v="4"/>
    <x v="2"/>
    <s v="Yes"/>
    <n v="0"/>
    <x v="1"/>
    <x v="2"/>
    <x v="1"/>
    <x v="1"/>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1"/>
    <x v="0"/>
  </r>
  <r>
    <n v="16009"/>
    <x v="1"/>
    <x v="1"/>
    <n v="170000"/>
    <n v="1"/>
    <x v="4"/>
    <x v="4"/>
    <s v="No"/>
    <n v="4"/>
    <x v="0"/>
    <x v="2"/>
    <x v="29"/>
    <x v="0"/>
    <x v="0"/>
  </r>
  <r>
    <n v="18411"/>
    <x v="0"/>
    <x v="1"/>
    <n v="60000"/>
    <n v="2"/>
    <x v="2"/>
    <x v="2"/>
    <s v="No"/>
    <n v="2"/>
    <x v="2"/>
    <x v="2"/>
    <x v="36"/>
    <x v="0"/>
    <x v="0"/>
  </r>
  <r>
    <n v="19163"/>
    <x v="0"/>
    <x v="0"/>
    <n v="70000"/>
    <n v="4"/>
    <x v="0"/>
    <x v="2"/>
    <s v="Yes"/>
    <n v="2"/>
    <x v="0"/>
    <x v="2"/>
    <x v="1"/>
    <x v="1"/>
    <x v="1"/>
  </r>
  <r>
    <n v="18572"/>
    <x v="0"/>
    <x v="0"/>
    <n v="60000"/>
    <n v="0"/>
    <x v="4"/>
    <x v="2"/>
    <s v="Yes"/>
    <n v="0"/>
    <x v="0"/>
    <x v="2"/>
    <x v="32"/>
    <x v="0"/>
    <x v="0"/>
  </r>
  <r>
    <n v="27540"/>
    <x v="1"/>
    <x v="0"/>
    <n v="70000"/>
    <n v="0"/>
    <x v="0"/>
    <x v="2"/>
    <s v="No"/>
    <n v="1"/>
    <x v="0"/>
    <x v="2"/>
    <x v="34"/>
    <x v="1"/>
    <x v="1"/>
  </r>
  <r>
    <n v="19889"/>
    <x v="1"/>
    <x v="0"/>
    <n v="70000"/>
    <n v="2"/>
    <x v="3"/>
    <x v="0"/>
    <s v="No"/>
    <n v="2"/>
    <x v="1"/>
    <x v="2"/>
    <x v="9"/>
    <x v="0"/>
    <x v="1"/>
  </r>
  <r>
    <n v="12922"/>
    <x v="1"/>
    <x v="0"/>
    <n v="60000"/>
    <n v="3"/>
    <x v="0"/>
    <x v="0"/>
    <s v="Yes"/>
    <n v="0"/>
    <x v="1"/>
    <x v="2"/>
    <x v="8"/>
    <x v="0"/>
    <x v="1"/>
  </r>
  <r>
    <n v="18891"/>
    <x v="0"/>
    <x v="0"/>
    <n v="40000"/>
    <n v="0"/>
    <x v="1"/>
    <x v="0"/>
    <s v="Yes"/>
    <n v="2"/>
    <x v="2"/>
    <x v="2"/>
    <x v="26"/>
    <x v="1"/>
    <x v="0"/>
  </r>
  <r>
    <n v="16773"/>
    <x v="0"/>
    <x v="1"/>
    <n v="60000"/>
    <n v="1"/>
    <x v="4"/>
    <x v="0"/>
    <s v="Yes"/>
    <n v="0"/>
    <x v="0"/>
    <x v="2"/>
    <x v="6"/>
    <x v="1"/>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0"/>
    <x v="0"/>
  </r>
  <r>
    <n v="15555"/>
    <x v="0"/>
    <x v="0"/>
    <n v="60000"/>
    <n v="1"/>
    <x v="1"/>
    <x v="0"/>
    <s v="Yes"/>
    <n v="1"/>
    <x v="1"/>
    <x v="2"/>
    <x v="12"/>
    <x v="0"/>
    <x v="1"/>
  </r>
  <r>
    <n v="18423"/>
    <x v="1"/>
    <x v="1"/>
    <n v="80000"/>
    <n v="2"/>
    <x v="3"/>
    <x v="0"/>
    <s v="No"/>
    <n v="2"/>
    <x v="3"/>
    <x v="2"/>
    <x v="31"/>
    <x v="0"/>
    <x v="0"/>
  </r>
  <r>
    <n v="22743"/>
    <x v="0"/>
    <x v="0"/>
    <n v="40000"/>
    <n v="5"/>
    <x v="2"/>
    <x v="2"/>
    <s v="Yes"/>
    <n v="2"/>
    <x v="4"/>
    <x v="2"/>
    <x v="2"/>
    <x v="0"/>
    <x v="0"/>
  </r>
  <r>
    <n v="25343"/>
    <x v="1"/>
    <x v="0"/>
    <n v="20000"/>
    <n v="3"/>
    <x v="3"/>
    <x v="1"/>
    <s v="Yes"/>
    <n v="2"/>
    <x v="3"/>
    <x v="2"/>
    <x v="5"/>
    <x v="0"/>
    <x v="0"/>
  </r>
  <r>
    <n v="13390"/>
    <x v="0"/>
    <x v="0"/>
    <n v="70000"/>
    <n v="4"/>
    <x v="1"/>
    <x v="2"/>
    <s v="No"/>
    <n v="1"/>
    <x v="3"/>
    <x v="2"/>
    <x v="16"/>
    <x v="0"/>
    <x v="0"/>
  </r>
  <r>
    <n v="17482"/>
    <x v="1"/>
    <x v="0"/>
    <n v="40000"/>
    <n v="0"/>
    <x v="3"/>
    <x v="1"/>
    <s v="Yes"/>
    <n v="2"/>
    <x v="2"/>
    <x v="2"/>
    <x v="19"/>
    <x v="2"/>
    <x v="0"/>
  </r>
  <r>
    <n v="13176"/>
    <x v="1"/>
    <x v="1"/>
    <n v="130000"/>
    <n v="0"/>
    <x v="4"/>
    <x v="4"/>
    <s v="No"/>
    <n v="2"/>
    <x v="0"/>
    <x v="2"/>
    <x v="13"/>
    <x v="0"/>
    <x v="1"/>
  </r>
  <r>
    <n v="20504"/>
    <x v="0"/>
    <x v="0"/>
    <n v="40000"/>
    <n v="5"/>
    <x v="2"/>
    <x v="2"/>
    <s v="No"/>
    <n v="2"/>
    <x v="1"/>
    <x v="2"/>
    <x v="2"/>
    <x v="0"/>
    <x v="0"/>
  </r>
  <r>
    <n v="12205"/>
    <x v="1"/>
    <x v="0"/>
    <n v="130000"/>
    <n v="2"/>
    <x v="0"/>
    <x v="4"/>
    <s v="No"/>
    <n v="4"/>
    <x v="0"/>
    <x v="2"/>
    <x v="41"/>
    <x v="0"/>
    <x v="0"/>
  </r>
  <r>
    <n v="16751"/>
    <x v="0"/>
    <x v="1"/>
    <n v="60000"/>
    <n v="0"/>
    <x v="1"/>
    <x v="0"/>
    <s v="Yes"/>
    <n v="1"/>
    <x v="2"/>
    <x v="2"/>
    <x v="21"/>
    <x v="0"/>
    <x v="1"/>
  </r>
  <r>
    <n v="21613"/>
    <x v="1"/>
    <x v="1"/>
    <n v="50000"/>
    <n v="2"/>
    <x v="0"/>
    <x v="0"/>
    <s v="No"/>
    <n v="1"/>
    <x v="0"/>
    <x v="2"/>
    <x v="32"/>
    <x v="0"/>
    <x v="1"/>
  </r>
  <r>
    <n v="24801"/>
    <x v="1"/>
    <x v="1"/>
    <n v="60000"/>
    <n v="1"/>
    <x v="4"/>
    <x v="2"/>
    <s v="Yes"/>
    <n v="0"/>
    <x v="1"/>
    <x v="2"/>
    <x v="11"/>
    <x v="1"/>
    <x v="1"/>
  </r>
  <r>
    <n v="17519"/>
    <x v="0"/>
    <x v="0"/>
    <n v="60000"/>
    <n v="0"/>
    <x v="1"/>
    <x v="2"/>
    <s v="Yes"/>
    <n v="2"/>
    <x v="2"/>
    <x v="2"/>
    <x v="21"/>
    <x v="0"/>
    <x v="0"/>
  </r>
  <r>
    <n v="18347"/>
    <x v="1"/>
    <x v="0"/>
    <n v="30000"/>
    <n v="0"/>
    <x v="1"/>
    <x v="0"/>
    <s v="No"/>
    <n v="1"/>
    <x v="3"/>
    <x v="2"/>
    <x v="23"/>
    <x v="1"/>
    <x v="0"/>
  </r>
  <r>
    <n v="29052"/>
    <x v="1"/>
    <x v="1"/>
    <n v="40000"/>
    <n v="0"/>
    <x v="1"/>
    <x v="0"/>
    <s v="Yes"/>
    <n v="1"/>
    <x v="2"/>
    <x v="2"/>
    <x v="40"/>
    <x v="2"/>
    <x v="0"/>
  </r>
  <r>
    <n v="11745"/>
    <x v="0"/>
    <x v="0"/>
    <n v="60000"/>
    <n v="1"/>
    <x v="0"/>
    <x v="2"/>
    <s v="Yes"/>
    <n v="1"/>
    <x v="0"/>
    <x v="2"/>
    <x v="15"/>
    <x v="0"/>
    <x v="1"/>
  </r>
  <r>
    <n v="19147"/>
    <x v="0"/>
    <x v="1"/>
    <n v="40000"/>
    <n v="0"/>
    <x v="0"/>
    <x v="2"/>
    <s v="No"/>
    <n v="1"/>
    <x v="0"/>
    <x v="2"/>
    <x v="0"/>
    <x v="1"/>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1"/>
    <x v="0"/>
  </r>
  <r>
    <n v="22046"/>
    <x v="1"/>
    <x v="0"/>
    <n v="80000"/>
    <n v="0"/>
    <x v="0"/>
    <x v="4"/>
    <s v="No"/>
    <n v="1"/>
    <x v="0"/>
    <x v="2"/>
    <x v="13"/>
    <x v="1"/>
    <x v="1"/>
  </r>
  <r>
    <n v="28052"/>
    <x v="0"/>
    <x v="1"/>
    <n v="60000"/>
    <n v="2"/>
    <x v="2"/>
    <x v="2"/>
    <s v="Yes"/>
    <n v="2"/>
    <x v="4"/>
    <x v="2"/>
    <x v="10"/>
    <x v="0"/>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0"/>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0"/>
    <x v="1"/>
  </r>
  <r>
    <n v="14872"/>
    <x v="0"/>
    <x v="1"/>
    <n v="30000"/>
    <n v="0"/>
    <x v="4"/>
    <x v="0"/>
    <s v="Yes"/>
    <n v="0"/>
    <x v="0"/>
    <x v="2"/>
    <x v="21"/>
    <x v="1"/>
    <x v="0"/>
  </r>
  <r>
    <n v="16151"/>
    <x v="0"/>
    <x v="0"/>
    <n v="60000"/>
    <n v="1"/>
    <x v="0"/>
    <x v="2"/>
    <s v="Yes"/>
    <n v="1"/>
    <x v="1"/>
    <x v="2"/>
    <x v="28"/>
    <x v="0"/>
    <x v="1"/>
  </r>
  <r>
    <n v="19731"/>
    <x v="0"/>
    <x v="1"/>
    <n v="80000"/>
    <n v="4"/>
    <x v="4"/>
    <x v="4"/>
    <s v="Yes"/>
    <n v="2"/>
    <x v="2"/>
    <x v="2"/>
    <x v="35"/>
    <x v="0"/>
    <x v="0"/>
  </r>
  <r>
    <n v="23801"/>
    <x v="0"/>
    <x v="0"/>
    <n v="20000"/>
    <n v="2"/>
    <x v="3"/>
    <x v="1"/>
    <s v="Yes"/>
    <n v="2"/>
    <x v="0"/>
    <x v="2"/>
    <x v="38"/>
    <x v="1"/>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1"/>
    <x v="0"/>
  </r>
  <r>
    <n v="13415"/>
    <x v="1"/>
    <x v="1"/>
    <n v="100000"/>
    <n v="1"/>
    <x v="4"/>
    <x v="4"/>
    <s v="Yes"/>
    <n v="3"/>
    <x v="1"/>
    <x v="2"/>
    <x v="49"/>
    <x v="0"/>
    <x v="1"/>
  </r>
  <r>
    <n v="17000"/>
    <x v="1"/>
    <x v="0"/>
    <n v="70000"/>
    <n v="4"/>
    <x v="0"/>
    <x v="0"/>
    <s v="Yes"/>
    <n v="2"/>
    <x v="1"/>
    <x v="2"/>
    <x v="1"/>
    <x v="0"/>
    <x v="1"/>
  </r>
  <r>
    <n v="14569"/>
    <x v="0"/>
    <x v="1"/>
    <n v="60000"/>
    <n v="1"/>
    <x v="4"/>
    <x v="2"/>
    <s v="Yes"/>
    <n v="0"/>
    <x v="0"/>
    <x v="2"/>
    <x v="11"/>
    <x v="0"/>
    <x v="0"/>
  </r>
  <r>
    <n v="13873"/>
    <x v="0"/>
    <x v="1"/>
    <n v="70000"/>
    <n v="3"/>
    <x v="4"/>
    <x v="2"/>
    <s v="Yes"/>
    <n v="0"/>
    <x v="0"/>
    <x v="2"/>
    <x v="11"/>
    <x v="1"/>
    <x v="1"/>
  </r>
  <r>
    <n v="20401"/>
    <x v="0"/>
    <x v="0"/>
    <n v="50000"/>
    <n v="4"/>
    <x v="0"/>
    <x v="4"/>
    <s v="Yes"/>
    <n v="2"/>
    <x v="3"/>
    <x v="2"/>
    <x v="46"/>
    <x v="0"/>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1"/>
    <x v="0"/>
  </r>
  <r>
    <n v="14432"/>
    <x v="1"/>
    <x v="1"/>
    <n v="90000"/>
    <n v="4"/>
    <x v="4"/>
    <x v="4"/>
    <s v="Yes"/>
    <n v="1"/>
    <x v="2"/>
    <x v="2"/>
    <x v="49"/>
    <x v="0"/>
    <x v="0"/>
  </r>
  <r>
    <n v="26305"/>
    <x v="1"/>
    <x v="0"/>
    <n v="60000"/>
    <n v="2"/>
    <x v="0"/>
    <x v="0"/>
    <s v="No"/>
    <n v="0"/>
    <x v="0"/>
    <x v="2"/>
    <x v="4"/>
    <x v="0"/>
    <x v="1"/>
  </r>
  <r>
    <n v="22050"/>
    <x v="1"/>
    <x v="1"/>
    <n v="90000"/>
    <n v="4"/>
    <x v="0"/>
    <x v="4"/>
    <s v="Yes"/>
    <n v="1"/>
    <x v="3"/>
    <x v="2"/>
    <x v="13"/>
    <x v="0"/>
    <x v="1"/>
  </r>
  <r>
    <n v="25394"/>
    <x v="0"/>
    <x v="1"/>
    <n v="60000"/>
    <n v="1"/>
    <x v="4"/>
    <x v="2"/>
    <s v="Yes"/>
    <n v="0"/>
    <x v="1"/>
    <x v="2"/>
    <x v="17"/>
    <x v="1"/>
    <x v="1"/>
  </r>
  <r>
    <n v="19747"/>
    <x v="0"/>
    <x v="1"/>
    <n v="50000"/>
    <n v="4"/>
    <x v="0"/>
    <x v="4"/>
    <s v="Yes"/>
    <n v="2"/>
    <x v="4"/>
    <x v="2"/>
    <x v="18"/>
    <x v="0"/>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0"/>
    <x v="0"/>
  </r>
  <r>
    <n v="27190"/>
    <x v="0"/>
    <x v="0"/>
    <n v="40000"/>
    <n v="3"/>
    <x v="1"/>
    <x v="1"/>
    <s v="Yes"/>
    <n v="1"/>
    <x v="3"/>
    <x v="2"/>
    <x v="21"/>
    <x v="0"/>
    <x v="0"/>
  </r>
  <r>
    <n v="28657"/>
    <x v="1"/>
    <x v="1"/>
    <n v="60000"/>
    <n v="2"/>
    <x v="0"/>
    <x v="0"/>
    <s v="Yes"/>
    <n v="0"/>
    <x v="1"/>
    <x v="2"/>
    <x v="4"/>
    <x v="1"/>
    <x v="1"/>
  </r>
  <r>
    <n v="21713"/>
    <x v="1"/>
    <x v="1"/>
    <n v="80000"/>
    <n v="5"/>
    <x v="4"/>
    <x v="0"/>
    <s v="No"/>
    <n v="0"/>
    <x v="0"/>
    <x v="2"/>
    <x v="15"/>
    <x v="0"/>
    <x v="0"/>
  </r>
  <r>
    <n v="21752"/>
    <x v="0"/>
    <x v="1"/>
    <n v="60000"/>
    <n v="3"/>
    <x v="4"/>
    <x v="4"/>
    <s v="Yes"/>
    <n v="2"/>
    <x v="4"/>
    <x v="2"/>
    <x v="46"/>
    <x v="0"/>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0"/>
    <x v="0"/>
  </r>
  <r>
    <n v="20754"/>
    <x v="0"/>
    <x v="1"/>
    <n v="30000"/>
    <n v="2"/>
    <x v="2"/>
    <x v="0"/>
    <s v="Yes"/>
    <n v="2"/>
    <x v="3"/>
    <x v="2"/>
    <x v="36"/>
    <x v="0"/>
    <x v="0"/>
  </r>
  <r>
    <n v="12153"/>
    <x v="1"/>
    <x v="0"/>
    <n v="70000"/>
    <n v="3"/>
    <x v="1"/>
    <x v="2"/>
    <s v="Yes"/>
    <n v="1"/>
    <x v="2"/>
    <x v="2"/>
    <x v="38"/>
    <x v="1"/>
    <x v="1"/>
  </r>
  <r>
    <n v="16895"/>
    <x v="0"/>
    <x v="0"/>
    <n v="40000"/>
    <n v="3"/>
    <x v="1"/>
    <x v="2"/>
    <s v="No"/>
    <n v="2"/>
    <x v="3"/>
    <x v="2"/>
    <x v="9"/>
    <x v="0"/>
    <x v="1"/>
  </r>
  <r>
    <n v="26728"/>
    <x v="1"/>
    <x v="1"/>
    <n v="70000"/>
    <n v="3"/>
    <x v="4"/>
    <x v="4"/>
    <s v="No"/>
    <n v="2"/>
    <x v="3"/>
    <x v="2"/>
    <x v="39"/>
    <x v="1"/>
    <x v="1"/>
  </r>
  <r>
    <n v="11090"/>
    <x v="1"/>
    <x v="1"/>
    <n v="90000"/>
    <n v="2"/>
    <x v="1"/>
    <x v="2"/>
    <s v="Yes"/>
    <n v="1"/>
    <x v="1"/>
    <x v="2"/>
    <x v="28"/>
    <x v="0"/>
    <x v="1"/>
  </r>
  <r>
    <n v="15862"/>
    <x v="1"/>
    <x v="0"/>
    <n v="50000"/>
    <n v="0"/>
    <x v="4"/>
    <x v="0"/>
    <s v="Yes"/>
    <n v="0"/>
    <x v="3"/>
    <x v="2"/>
    <x v="6"/>
    <x v="0"/>
    <x v="1"/>
  </r>
  <r>
    <n v="26495"/>
    <x v="1"/>
    <x v="0"/>
    <n v="40000"/>
    <n v="2"/>
    <x v="2"/>
    <x v="2"/>
    <s v="Yes"/>
    <n v="2"/>
    <x v="4"/>
    <x v="2"/>
    <x v="42"/>
    <x v="0"/>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1"/>
    <x v="0"/>
  </r>
  <r>
    <n v="14389"/>
    <x v="0"/>
    <x v="1"/>
    <n v="60000"/>
    <n v="2"/>
    <x v="0"/>
    <x v="4"/>
    <s v="Yes"/>
    <n v="0"/>
    <x v="1"/>
    <x v="2"/>
    <x v="14"/>
    <x v="0"/>
    <x v="0"/>
  </r>
  <r>
    <n v="18050"/>
    <x v="0"/>
    <x v="0"/>
    <n v="60000"/>
    <n v="1"/>
    <x v="1"/>
    <x v="0"/>
    <s v="Yes"/>
    <n v="1"/>
    <x v="0"/>
    <x v="2"/>
    <x v="12"/>
    <x v="0"/>
    <x v="1"/>
  </r>
  <r>
    <n v="19856"/>
    <x v="0"/>
    <x v="0"/>
    <n v="60000"/>
    <n v="4"/>
    <x v="0"/>
    <x v="4"/>
    <s v="Yes"/>
    <n v="2"/>
    <x v="1"/>
    <x v="2"/>
    <x v="2"/>
    <x v="0"/>
    <x v="0"/>
  </r>
  <r>
    <n v="11663"/>
    <x v="0"/>
    <x v="1"/>
    <n v="70000"/>
    <n v="4"/>
    <x v="4"/>
    <x v="2"/>
    <s v="Yes"/>
    <n v="0"/>
    <x v="0"/>
    <x v="2"/>
    <x v="4"/>
    <x v="0"/>
    <x v="1"/>
  </r>
  <r>
    <n v="27740"/>
    <x v="0"/>
    <x v="0"/>
    <n v="40000"/>
    <n v="0"/>
    <x v="2"/>
    <x v="0"/>
    <s v="Yes"/>
    <n v="2"/>
    <x v="2"/>
    <x v="2"/>
    <x v="40"/>
    <x v="2"/>
    <x v="0"/>
  </r>
  <r>
    <n v="23455"/>
    <x v="1"/>
    <x v="1"/>
    <n v="80000"/>
    <n v="2"/>
    <x v="3"/>
    <x v="0"/>
    <s v="No"/>
    <n v="2"/>
    <x v="3"/>
    <x v="2"/>
    <x v="5"/>
    <x v="1"/>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0"/>
    <x v="1"/>
  </r>
  <r>
    <n v="11303"/>
    <x v="1"/>
    <x v="0"/>
    <n v="90000"/>
    <n v="4"/>
    <x v="2"/>
    <x v="2"/>
    <s v="No"/>
    <n v="3"/>
    <x v="3"/>
    <x v="2"/>
    <x v="12"/>
    <x v="0"/>
    <x v="1"/>
  </r>
  <r>
    <n v="21693"/>
    <x v="1"/>
    <x v="0"/>
    <n v="60000"/>
    <n v="0"/>
    <x v="4"/>
    <x v="0"/>
    <s v="No"/>
    <n v="0"/>
    <x v="0"/>
    <x v="2"/>
    <x v="8"/>
    <x v="1"/>
    <x v="0"/>
  </r>
  <r>
    <n v="28056"/>
    <x v="0"/>
    <x v="1"/>
    <n v="70000"/>
    <n v="2"/>
    <x v="3"/>
    <x v="0"/>
    <s v="Yes"/>
    <n v="2"/>
    <x v="4"/>
    <x v="2"/>
    <x v="39"/>
    <x v="1"/>
    <x v="0"/>
  </r>
  <r>
    <n v="11788"/>
    <x v="1"/>
    <x v="0"/>
    <n v="70000"/>
    <n v="1"/>
    <x v="4"/>
    <x v="2"/>
    <s v="Yes"/>
    <n v="0"/>
    <x v="1"/>
    <x v="2"/>
    <x v="17"/>
    <x v="1"/>
    <x v="0"/>
  </r>
  <r>
    <n v="22296"/>
    <x v="0"/>
    <x v="1"/>
    <n v="70000"/>
    <n v="0"/>
    <x v="0"/>
    <x v="2"/>
    <s v="No"/>
    <n v="1"/>
    <x v="0"/>
    <x v="2"/>
    <x v="13"/>
    <x v="1"/>
    <x v="0"/>
  </r>
  <r>
    <n v="15319"/>
    <x v="0"/>
    <x v="0"/>
    <n v="70000"/>
    <n v="4"/>
    <x v="0"/>
    <x v="4"/>
    <s v="No"/>
    <n v="1"/>
    <x v="3"/>
    <x v="2"/>
    <x v="14"/>
    <x v="0"/>
    <x v="0"/>
  </r>
  <r>
    <n v="17654"/>
    <x v="1"/>
    <x v="0"/>
    <n v="40000"/>
    <n v="3"/>
    <x v="1"/>
    <x v="1"/>
    <s v="Yes"/>
    <n v="1"/>
    <x v="3"/>
    <x v="2"/>
    <x v="25"/>
    <x v="2"/>
    <x v="1"/>
  </r>
  <r>
    <n v="14662"/>
    <x v="0"/>
    <x v="1"/>
    <n v="60000"/>
    <n v="1"/>
    <x v="0"/>
    <x v="2"/>
    <s v="Yes"/>
    <n v="1"/>
    <x v="0"/>
    <x v="2"/>
    <x v="28"/>
    <x v="1"/>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0"/>
    <x v="0"/>
  </r>
  <r>
    <n v="16813"/>
    <x v="0"/>
    <x v="1"/>
    <n v="60000"/>
    <n v="2"/>
    <x v="1"/>
    <x v="2"/>
    <s v="Yes"/>
    <n v="2"/>
    <x v="4"/>
    <x v="2"/>
    <x v="10"/>
    <x v="0"/>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0"/>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1"/>
    <x v="0"/>
  </r>
  <r>
    <n v="17462"/>
    <x v="0"/>
    <x v="1"/>
    <n v="70000"/>
    <n v="3"/>
    <x v="4"/>
    <x v="4"/>
    <s v="Yes"/>
    <n v="2"/>
    <x v="2"/>
    <x v="2"/>
    <x v="39"/>
    <x v="1"/>
    <x v="1"/>
  </r>
  <r>
    <n v="20659"/>
    <x v="0"/>
    <x v="1"/>
    <n v="70000"/>
    <n v="3"/>
    <x v="4"/>
    <x v="2"/>
    <s v="Yes"/>
    <n v="0"/>
    <x v="0"/>
    <x v="2"/>
    <x v="11"/>
    <x v="1"/>
    <x v="1"/>
  </r>
  <r>
    <n v="28004"/>
    <x v="0"/>
    <x v="0"/>
    <n v="60000"/>
    <n v="3"/>
    <x v="0"/>
    <x v="4"/>
    <s v="Yes"/>
    <n v="2"/>
    <x v="4"/>
    <x v="2"/>
    <x v="29"/>
    <x v="0"/>
    <x v="0"/>
  </r>
  <r>
    <n v="19741"/>
    <x v="1"/>
    <x v="0"/>
    <n v="80000"/>
    <n v="4"/>
    <x v="4"/>
    <x v="4"/>
    <s v="Yes"/>
    <n v="2"/>
    <x v="2"/>
    <x v="2"/>
    <x v="27"/>
    <x v="0"/>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0"/>
    <x v="1"/>
  </r>
  <r>
    <n v="28972"/>
    <x v="1"/>
    <x v="0"/>
    <n v="60000"/>
    <n v="3"/>
    <x v="4"/>
    <x v="4"/>
    <s v="Yes"/>
    <n v="2"/>
    <x v="4"/>
    <x v="2"/>
    <x v="29"/>
    <x v="0"/>
    <x v="0"/>
  </r>
  <r>
    <n v="22730"/>
    <x v="0"/>
    <x v="1"/>
    <n v="70000"/>
    <n v="5"/>
    <x v="0"/>
    <x v="4"/>
    <s v="Yes"/>
    <n v="2"/>
    <x v="4"/>
    <x v="2"/>
    <x v="18"/>
    <x v="0"/>
    <x v="0"/>
  </r>
  <r>
    <n v="29134"/>
    <x v="0"/>
    <x v="1"/>
    <n v="60000"/>
    <n v="4"/>
    <x v="0"/>
    <x v="0"/>
    <s v="No"/>
    <n v="3"/>
    <x v="4"/>
    <x v="2"/>
    <x v="0"/>
    <x v="0"/>
    <x v="0"/>
  </r>
  <r>
    <n v="14332"/>
    <x v="1"/>
    <x v="0"/>
    <n v="30000"/>
    <n v="0"/>
    <x v="2"/>
    <x v="0"/>
    <s v="No"/>
    <n v="2"/>
    <x v="2"/>
    <x v="2"/>
    <x v="22"/>
    <x v="2"/>
    <x v="0"/>
  </r>
  <r>
    <n v="19117"/>
    <x v="1"/>
    <x v="0"/>
    <n v="60000"/>
    <n v="1"/>
    <x v="4"/>
    <x v="2"/>
    <s v="Yes"/>
    <n v="0"/>
    <x v="1"/>
    <x v="2"/>
    <x v="4"/>
    <x v="1"/>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1"/>
    <x v="1"/>
  </r>
  <r>
    <n v="28672"/>
    <x v="1"/>
    <x v="1"/>
    <n v="70000"/>
    <n v="4"/>
    <x v="4"/>
    <x v="2"/>
    <s v="Yes"/>
    <n v="0"/>
    <x v="1"/>
    <x v="2"/>
    <x v="11"/>
    <x v="0"/>
    <x v="1"/>
  </r>
  <r>
    <n v="11809"/>
    <x v="0"/>
    <x v="1"/>
    <n v="60000"/>
    <n v="2"/>
    <x v="0"/>
    <x v="0"/>
    <s v="Yes"/>
    <n v="0"/>
    <x v="0"/>
    <x v="2"/>
    <x v="13"/>
    <x v="0"/>
    <x v="1"/>
  </r>
  <r>
    <n v="19664"/>
    <x v="1"/>
    <x v="1"/>
    <n v="100000"/>
    <n v="3"/>
    <x v="0"/>
    <x v="4"/>
    <s v="No"/>
    <n v="3"/>
    <x v="3"/>
    <x v="2"/>
    <x v="13"/>
    <x v="1"/>
    <x v="0"/>
  </r>
  <r>
    <n v="12121"/>
    <x v="1"/>
    <x v="1"/>
    <n v="60000"/>
    <n v="3"/>
    <x v="2"/>
    <x v="2"/>
    <s v="Yes"/>
    <n v="2"/>
    <x v="4"/>
    <x v="2"/>
    <x v="39"/>
    <x v="0"/>
    <x v="1"/>
  </r>
  <r>
    <n v="13507"/>
    <x v="0"/>
    <x v="0"/>
    <n v="10000"/>
    <n v="2"/>
    <x v="1"/>
    <x v="3"/>
    <s v="Yes"/>
    <n v="0"/>
    <x v="3"/>
    <x v="0"/>
    <x v="5"/>
    <x v="0"/>
    <x v="0"/>
  </r>
  <r>
    <n v="19280"/>
    <x v="0"/>
    <x v="1"/>
    <n v="120000"/>
    <n v="2"/>
    <x v="1"/>
    <x v="3"/>
    <s v="Yes"/>
    <n v="1"/>
    <x v="0"/>
    <x v="0"/>
    <x v="8"/>
    <x v="0"/>
    <x v="1"/>
  </r>
  <r>
    <n v="22173"/>
    <x v="0"/>
    <x v="0"/>
    <n v="30000"/>
    <n v="3"/>
    <x v="2"/>
    <x v="0"/>
    <s v="No"/>
    <n v="2"/>
    <x v="3"/>
    <x v="1"/>
    <x v="9"/>
    <x v="1"/>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0"/>
    <x v="1"/>
  </r>
  <r>
    <n v="12610"/>
    <x v="0"/>
    <x v="0"/>
    <n v="30000"/>
    <n v="1"/>
    <x v="0"/>
    <x v="1"/>
    <s v="Yes"/>
    <n v="0"/>
    <x v="0"/>
    <x v="0"/>
    <x v="15"/>
    <x v="1"/>
    <x v="0"/>
  </r>
  <r>
    <n v="27183"/>
    <x v="1"/>
    <x v="1"/>
    <n v="40000"/>
    <n v="2"/>
    <x v="1"/>
    <x v="1"/>
    <s v="Yes"/>
    <n v="1"/>
    <x v="3"/>
    <x v="0"/>
    <x v="11"/>
    <x v="0"/>
    <x v="1"/>
  </r>
  <r>
    <n v="25940"/>
    <x v="1"/>
    <x v="1"/>
    <n v="20000"/>
    <n v="2"/>
    <x v="3"/>
    <x v="1"/>
    <s v="Yes"/>
    <n v="2"/>
    <x v="2"/>
    <x v="1"/>
    <x v="10"/>
    <x v="0"/>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0"/>
    <x v="0"/>
  </r>
  <r>
    <n v="27184"/>
    <x v="1"/>
    <x v="1"/>
    <n v="40000"/>
    <n v="2"/>
    <x v="1"/>
    <x v="1"/>
    <s v="No"/>
    <n v="1"/>
    <x v="0"/>
    <x v="0"/>
    <x v="17"/>
    <x v="0"/>
    <x v="0"/>
  </r>
  <r>
    <n v="12590"/>
    <x v="1"/>
    <x v="1"/>
    <n v="30000"/>
    <n v="1"/>
    <x v="0"/>
    <x v="1"/>
    <s v="Yes"/>
    <n v="0"/>
    <x v="0"/>
    <x v="0"/>
    <x v="18"/>
    <x v="0"/>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0"/>
    <x v="0"/>
  </r>
  <r>
    <n v="22400"/>
    <x v="0"/>
    <x v="1"/>
    <n v="10000"/>
    <n v="0"/>
    <x v="1"/>
    <x v="3"/>
    <s v="No"/>
    <n v="1"/>
    <x v="0"/>
    <x v="1"/>
    <x v="22"/>
    <x v="2"/>
    <x v="1"/>
  </r>
  <r>
    <n v="20942"/>
    <x v="1"/>
    <x v="0"/>
    <n v="20000"/>
    <n v="0"/>
    <x v="2"/>
    <x v="3"/>
    <s v="No"/>
    <n v="1"/>
    <x v="2"/>
    <x v="0"/>
    <x v="23"/>
    <x v="0"/>
    <x v="0"/>
  </r>
  <r>
    <n v="18484"/>
    <x v="1"/>
    <x v="1"/>
    <n v="80000"/>
    <n v="2"/>
    <x v="2"/>
    <x v="0"/>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A883F5-1108-4820-8EB3-4B10C30BD809}"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AE4701-99CB-4BB9-87BD-C7B587870991}"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D5" firstHeaderRow="1" firstDataRow="2" firstDataCol="1"/>
  <pivotFields count="14">
    <pivotField showAll="0"/>
    <pivotField showAll="0"/>
    <pivotField axis="axisRow" showAll="0">
      <items count="3">
        <item x="0"/>
        <item x="1"/>
        <item t="default"/>
      </items>
    </pivotField>
    <pivotField dataField="1" numFmtId="165"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CFEFDA-3556-4062-9FA4-81A52E82BFA0}"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63:D118"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A27C04-81ED-4100-8F7E-D4C5D279D5FB}"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3:D48"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4C46D77-93AA-471E-B920-5FA196C65B00}" sourceName="Marital Status">
  <pivotTables>
    <pivotTable tabId="3" name="PivotTable2"/>
  </pivotTables>
  <data>
    <tabular pivotCacheId="17483299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A331501-BC9B-4309-AFA0-531ABFD6F919}" sourceName="Education">
  <pivotTables>
    <pivotTable tabId="3" name="PivotTable2"/>
  </pivotTables>
  <data>
    <tabular pivotCacheId="174832994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BB1EBCC9-D9FA-46A9-A3BE-A2DDDDB702F9}" sourceName="Occupation">
  <pivotTables>
    <pivotTable tabId="3" name="PivotTable2"/>
  </pivotTables>
  <data>
    <tabular pivotCacheId="1748329945">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1FBB32-DF4E-4FE4-AB0E-BCC955AA9F27}" sourceName="Region">
  <pivotTables>
    <pivotTable tabId="3" name="PivotTable2"/>
  </pivotTables>
  <data>
    <tabular pivotCacheId="174832994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601F54A-ABF8-4F82-B10F-14D97A3D51C2}" cache="Slicer_Marital_Status" caption="Marital Status" rowHeight="241300"/>
  <slicer name="Education" xr10:uid="{7B10C77D-2C4F-42D1-BBCF-C54C6658D3F8}" cache="Slicer_Education" caption="Education" rowHeight="241300"/>
  <slicer name="Occupation" xr10:uid="{FACE6EA9-9F6E-4F4A-A8A4-8A32F3A0EC37}" cache="Slicer_Occupation" caption="Occupation" rowHeight="241300"/>
  <slicer name="Region" xr10:uid="{2AE94A1E-6C37-4E04-A1DE-BA22585CC7C6}"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5" sqref="A1:M1027"/>
    </sheetView>
  </sheetViews>
  <sheetFormatPr defaultColWidth="11.85546875" defaultRowHeight="15" x14ac:dyDescent="0.25"/>
  <cols>
    <col min="6" max="6" width="19.28515625" customWidth="1"/>
    <col min="7" max="7" width="14.285156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30238-7B5C-44A4-BE16-F385191B9191}">
  <dimension ref="A1:N1027"/>
  <sheetViews>
    <sheetView topLeftCell="A990" workbookViewId="0">
      <selection activeCell="J1001" sqref="J1001"/>
    </sheetView>
  </sheetViews>
  <sheetFormatPr defaultRowHeight="15" x14ac:dyDescent="0.25"/>
  <cols>
    <col min="1" max="1" width="9.140625" customWidth="1"/>
    <col min="2" max="2" width="15.42578125" customWidth="1"/>
    <col min="3" max="3" width="11.42578125" customWidth="1"/>
    <col min="4" max="4" width="11.140625" style="3" bestFit="1" customWidth="1"/>
    <col min="6" max="6" width="20.140625" customWidth="1"/>
    <col min="7" max="7" width="15.140625" customWidth="1"/>
    <col min="8" max="8" width="16.28515625" customWidth="1"/>
    <col min="10" max="10" width="24" customWidth="1"/>
    <col min="11" max="11" width="22.28515625" customWidth="1"/>
    <col min="13" max="13" width="17.710937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IF(L15&gt;54,"Old",IF(L2&gt;=31,"Middle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IF(L16&gt;54,"Old",IF(L3&gt;=31,"Middle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Middle Age</v>
      </c>
      <c r="N4" t="s">
        <v>18</v>
      </c>
    </row>
    <row r="5" spans="1:14" x14ac:dyDescent="0.25">
      <c r="A5">
        <v>24381</v>
      </c>
      <c r="B5" t="s">
        <v>37</v>
      </c>
      <c r="C5" t="s">
        <v>39</v>
      </c>
      <c r="D5" s="3">
        <v>70000</v>
      </c>
      <c r="E5">
        <v>0</v>
      </c>
      <c r="F5" t="s">
        <v>13</v>
      </c>
      <c r="G5" t="s">
        <v>21</v>
      </c>
      <c r="H5" t="s">
        <v>15</v>
      </c>
      <c r="I5">
        <v>1</v>
      </c>
      <c r="J5" t="s">
        <v>23</v>
      </c>
      <c r="K5" t="s">
        <v>24</v>
      </c>
      <c r="L5">
        <v>41</v>
      </c>
      <c r="M5" t="str">
        <f t="shared" si="0"/>
        <v>Old</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Old</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Middle Age</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Middle Age</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Old</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Old</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Middle Age</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Middle Age</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Old</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Middle Age</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Old</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Middle Age</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Old</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Old</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Middle Age</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Old</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Middle Age</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Middle Age</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Middle Age</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Old</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IF(L80&gt;54,"Old",IF(L67&gt;=31,"Middle Age",IF(L67&lt;31,"Adolescent","Invalid")))</f>
        <v>Middle Age</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Old</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Middle Age</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Middle Age</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Old</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Old</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Middle Age</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Old</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Old</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Old</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Middle Age</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Old</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Old</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IF(L144&gt;54,"Old",IF(L131&gt;=31,"Middle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Middle Age</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Middle Age</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Old</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Middle Age</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Old</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Middle Age</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Middle Age</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Old</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Old</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Old</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Old</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Old</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Old</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Middle Age</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Old</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Middle Age</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Middle Age</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Middle Age</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Middle Age</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IF(L208&gt;54,"Old",IF(L195&gt;=31,"Middle Age",IF(L195&lt;31,"Adolescent","Invalid")))</f>
        <v>Old</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Middle Age</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Old</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Middle Age</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Old</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Middle Age</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Old</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Old</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Middle Age</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Middle Age</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Middle Age</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Old</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Old</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Old</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Old</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Old</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Middle Age</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Middle Age</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Middle Age</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Middle Age</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IF(L272&gt;54,"Old",IF(L259&gt;=31,"Middle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Middle Age</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Old</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Old</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Old</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Old</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Middle Age</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Middle Age</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Old</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Middle Age</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Middle Age</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Middle Age</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IF(L336&gt;54,"Old",IF(L323&gt;=31,"Middle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Old</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Middle Age</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Middle Age</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Old</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Old</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Old</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Middle Age</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Old</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Old</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Middle Age</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Middle Age</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Middle Age</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Old</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IF(L400&gt;54,"Old",IF(L387&gt;=31,"Middle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Middle Age</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Old</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Middle Age</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Old</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Old</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Middle Age</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Middle Age</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Old</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Middle Age</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Middle Age</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Old</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Old</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IF(L464&gt;54,"Old",IF(L451&gt;=31,"Middle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Old</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Middle Age</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Old</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Middle Age</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Middle Age</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Old</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Old</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Middle Age</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Old</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Old</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Middle Age</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Middle Age</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Middle Age</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Middle Age</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Old</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Old</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Old</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Old</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Old</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IF(L528&gt;54,"Old",IF(L515&gt;=31,"Middle Age",IF(L515&lt;31,"Adolescent","Invalid")))</f>
        <v>Middle Age</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Old</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Middle Age</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Old</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Middle Age</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Middle Age</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Middle Age</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Middle Age</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Old</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Old</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Old</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Middle Age</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Old</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Old</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Middle Age</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Old</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Old</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Middle Age</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Old</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Middle Age</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Old</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Middle Age</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Middle Age</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Old</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IF(L592&gt;54,"Old",IF(L579&gt;=31,"Middle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Middle Age</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Old</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Old</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Middle Age</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Old</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Old</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Middle Age</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Middle Age</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Middle Age</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Middle Age</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Middle Age</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Middle Age</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Old</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Old</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Old</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Old</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Old</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Old</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Middle Age</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Old</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Old</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Middle Age</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Middle Age</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Middle Age</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IF(L656&gt;54,"Old",IF(L643&gt;=31,"Middle Age",IF(L643&lt;31,"Adolescent","Invalid")))</f>
        <v>Middle Age</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Old</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Middle Age</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Middle Age</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Old</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Old</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Middle Age</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Old</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Old</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Middle Age</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Middle Age</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Middle Age</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Middle Age</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Old</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Old</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Old</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Old</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Old</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Old</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Middle Age</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IF(L720&gt;54,"Old",IF(L707&gt;=31,"Middle Age",IF(L707&lt;31,"Adolescent","Invalid")))</f>
        <v>Middle Age</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Old</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Middle Age</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Middle Age</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Middle Age</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Middle Age</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Middle Age</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Old</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Old</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Old</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Old</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Old</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Middle Age</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Old</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Middle Age</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Middle Age</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Middle Age</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Old</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Middle Age</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Old</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IF(L784&gt;54,"Old",IF(L771&gt;=31,"Middle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Old</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Middle Age</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Middle Age</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Old</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Old</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Middle Age</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Old</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Middle Age</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Old</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Middle Age</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Middle Age</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Middle Age</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Old</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Old</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Middle Age</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Old</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IF(L848&gt;54,"Old",IF(L835&gt;=31,"Middle Age",IF(L835&lt;31,"Adolescent","Invalid")))</f>
        <v>Old</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Old</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Old</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Middle Age</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Middle Age</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Middle Age</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Middle Age</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Middle Age</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Old</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Old</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Old</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Old</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Old</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Middle Age</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Middle Age</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Middle Age</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Old</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Middle Age</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Old</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Old</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Middle Age</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Old</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Middle Age</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IF(L912&gt;54,"Old",IF(L899&gt;=31,"Middle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Old</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Middle Age</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Old</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Middle Age</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Middle Age</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Old</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Middle Age</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Middle Age</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Old</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Old</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Middle Age</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Old</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Middle Age</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Middle Age</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Old</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Middle Age</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Old</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Old</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Old</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Old</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Middle Age</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Old</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26" si="15">IF(L976&gt;54,"Old",IF(L963&gt;=31,"Middle Age",IF(L963&lt;31,"Adolescent","Invalid")))</f>
        <v>Middle Age</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Middle Age</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Middle Age</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Old</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Old</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Old</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Middle Age</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Middle Age</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Middle Age</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Middle Age</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Middle Age</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Old</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v>2</v>
      </c>
      <c r="F997" t="s">
        <v>27</v>
      </c>
      <c r="G997" t="s">
        <v>21</v>
      </c>
      <c r="H997" t="s">
        <v>15</v>
      </c>
      <c r="I997">
        <v>2</v>
      </c>
      <c r="J997" t="s">
        <v>22</v>
      </c>
      <c r="K997" t="s">
        <v>32</v>
      </c>
      <c r="L997">
        <v>54</v>
      </c>
      <c r="M997" t="str">
        <f t="shared" si="15"/>
        <v>Old</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Old</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row r="1002" spans="1:14" x14ac:dyDescent="0.25">
      <c r="A1002">
        <v>13507</v>
      </c>
      <c r="B1002" t="s">
        <v>36</v>
      </c>
      <c r="C1002" t="s">
        <v>38</v>
      </c>
      <c r="D1002" s="3">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36</v>
      </c>
      <c r="C1003" t="s">
        <v>39</v>
      </c>
      <c r="D1003" s="3">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36</v>
      </c>
      <c r="C1004" t="s">
        <v>38</v>
      </c>
      <c r="D1004" s="3">
        <v>30000</v>
      </c>
      <c r="E1004">
        <v>3</v>
      </c>
      <c r="F1004" t="s">
        <v>27</v>
      </c>
      <c r="G1004" t="s">
        <v>14</v>
      </c>
      <c r="H1004" t="s">
        <v>18</v>
      </c>
      <c r="I1004">
        <v>2</v>
      </c>
      <c r="J1004" t="s">
        <v>26</v>
      </c>
      <c r="K1004" t="s">
        <v>24</v>
      </c>
      <c r="L1004">
        <v>54</v>
      </c>
      <c r="M1004" t="str">
        <f t="shared" si="15"/>
        <v>Old</v>
      </c>
      <c r="N1004" t="s">
        <v>15</v>
      </c>
    </row>
    <row r="1005" spans="1:14" x14ac:dyDescent="0.25">
      <c r="A1005">
        <v>12697</v>
      </c>
      <c r="B1005" t="s">
        <v>37</v>
      </c>
      <c r="C1005" t="s">
        <v>38</v>
      </c>
      <c r="D1005" s="3">
        <v>90000</v>
      </c>
      <c r="E1005">
        <v>0</v>
      </c>
      <c r="F1005" t="s">
        <v>13</v>
      </c>
      <c r="G1005" t="s">
        <v>21</v>
      </c>
      <c r="H1005" t="s">
        <v>18</v>
      </c>
      <c r="I1005">
        <v>4</v>
      </c>
      <c r="J1005" t="s">
        <v>46</v>
      </c>
      <c r="K1005" t="s">
        <v>24</v>
      </c>
      <c r="L1005">
        <v>36</v>
      </c>
      <c r="M1005" t="str">
        <f t="shared" si="15"/>
        <v>Middle Age</v>
      </c>
      <c r="N1005" t="s">
        <v>18</v>
      </c>
    </row>
    <row r="1006" spans="1:14" x14ac:dyDescent="0.25">
      <c r="A1006">
        <v>11434</v>
      </c>
      <c r="B1006" t="s">
        <v>36</v>
      </c>
      <c r="C1006" t="s">
        <v>39</v>
      </c>
      <c r="D1006" s="3">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36</v>
      </c>
      <c r="C1007" t="s">
        <v>39</v>
      </c>
      <c r="D1007" s="3">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37</v>
      </c>
      <c r="C1008" t="s">
        <v>39</v>
      </c>
      <c r="D1008" s="3">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37</v>
      </c>
      <c r="C1009" t="s">
        <v>38</v>
      </c>
      <c r="D1009" s="3">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37</v>
      </c>
      <c r="C1010" t="s">
        <v>39</v>
      </c>
      <c r="D1010" s="3">
        <v>30000</v>
      </c>
      <c r="E1010">
        <v>3</v>
      </c>
      <c r="F1010" t="s">
        <v>19</v>
      </c>
      <c r="G1010" t="s">
        <v>20</v>
      </c>
      <c r="H1010" t="s">
        <v>18</v>
      </c>
      <c r="I1010">
        <v>2</v>
      </c>
      <c r="J1010" t="s">
        <v>26</v>
      </c>
      <c r="K1010" t="s">
        <v>24</v>
      </c>
      <c r="L1010">
        <v>59</v>
      </c>
      <c r="M1010" t="str">
        <f t="shared" si="15"/>
        <v>Middle Age</v>
      </c>
      <c r="N1010" t="s">
        <v>15</v>
      </c>
    </row>
    <row r="1011" spans="1:14" x14ac:dyDescent="0.25">
      <c r="A1011">
        <v>12610</v>
      </c>
      <c r="B1011" t="s">
        <v>36</v>
      </c>
      <c r="C1011" t="s">
        <v>38</v>
      </c>
      <c r="D1011" s="3">
        <v>30000</v>
      </c>
      <c r="E1011">
        <v>1</v>
      </c>
      <c r="F1011" t="s">
        <v>13</v>
      </c>
      <c r="G1011" t="s">
        <v>20</v>
      </c>
      <c r="H1011" t="s">
        <v>15</v>
      </c>
      <c r="I1011">
        <v>0</v>
      </c>
      <c r="J1011" t="s">
        <v>16</v>
      </c>
      <c r="K1011" t="s">
        <v>17</v>
      </c>
      <c r="L1011">
        <v>47</v>
      </c>
      <c r="M1011" t="str">
        <f t="shared" si="15"/>
        <v>Old</v>
      </c>
      <c r="N1011" t="s">
        <v>18</v>
      </c>
    </row>
    <row r="1012" spans="1:14" x14ac:dyDescent="0.25">
      <c r="A1012">
        <v>27183</v>
      </c>
      <c r="B1012" t="s">
        <v>37</v>
      </c>
      <c r="C1012" t="s">
        <v>39</v>
      </c>
      <c r="D1012" s="3">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37</v>
      </c>
      <c r="C1013" t="s">
        <v>39</v>
      </c>
      <c r="D1013" s="3">
        <v>20000</v>
      </c>
      <c r="E1013">
        <v>2</v>
      </c>
      <c r="F1013" t="s">
        <v>29</v>
      </c>
      <c r="G1013" t="s">
        <v>20</v>
      </c>
      <c r="H1013" t="s">
        <v>15</v>
      </c>
      <c r="I1013">
        <v>2</v>
      </c>
      <c r="J1013" t="s">
        <v>23</v>
      </c>
      <c r="K1013" t="s">
        <v>24</v>
      </c>
      <c r="L1013">
        <v>55</v>
      </c>
      <c r="M1013" t="str">
        <f t="shared" si="15"/>
        <v>Middle Age</v>
      </c>
      <c r="N1013" t="s">
        <v>15</v>
      </c>
    </row>
    <row r="1014" spans="1:14" x14ac:dyDescent="0.25">
      <c r="A1014">
        <v>25598</v>
      </c>
      <c r="B1014" t="s">
        <v>36</v>
      </c>
      <c r="C1014" t="s">
        <v>38</v>
      </c>
      <c r="D1014" s="3">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37</v>
      </c>
      <c r="C1015" t="s">
        <v>38</v>
      </c>
      <c r="D1015" s="3">
        <v>80000</v>
      </c>
      <c r="E1015">
        <v>0</v>
      </c>
      <c r="F1015" t="s">
        <v>13</v>
      </c>
      <c r="G1015" t="s">
        <v>21</v>
      </c>
      <c r="H1015" t="s">
        <v>15</v>
      </c>
      <c r="I1015">
        <v>4</v>
      </c>
      <c r="J1015" t="s">
        <v>46</v>
      </c>
      <c r="K1015" t="s">
        <v>24</v>
      </c>
      <c r="L1015">
        <v>35</v>
      </c>
      <c r="M1015" t="str">
        <f t="shared" si="15"/>
        <v>Middle Age</v>
      </c>
      <c r="N1015" t="s">
        <v>18</v>
      </c>
    </row>
    <row r="1016" spans="1:14" x14ac:dyDescent="0.25">
      <c r="A1016">
        <v>19193</v>
      </c>
      <c r="B1016" t="s">
        <v>37</v>
      </c>
      <c r="C1016" t="s">
        <v>39</v>
      </c>
      <c r="D1016" s="3">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36</v>
      </c>
      <c r="C1017" t="s">
        <v>38</v>
      </c>
      <c r="D1017" s="3">
        <v>80000</v>
      </c>
      <c r="E1017">
        <v>5</v>
      </c>
      <c r="F1017" t="s">
        <v>27</v>
      </c>
      <c r="G1017" t="s">
        <v>28</v>
      </c>
      <c r="H1017" t="s">
        <v>18</v>
      </c>
      <c r="I1017">
        <v>3</v>
      </c>
      <c r="J1017" t="s">
        <v>23</v>
      </c>
      <c r="K1017" t="s">
        <v>17</v>
      </c>
      <c r="L1017">
        <v>56</v>
      </c>
      <c r="M1017" t="str">
        <f t="shared" si="15"/>
        <v>Middle Age</v>
      </c>
      <c r="N1017" t="s">
        <v>18</v>
      </c>
    </row>
    <row r="1018" spans="1:14" x14ac:dyDescent="0.25">
      <c r="A1018">
        <v>27184</v>
      </c>
      <c r="B1018" t="s">
        <v>37</v>
      </c>
      <c r="C1018" t="s">
        <v>39</v>
      </c>
      <c r="D1018" s="3">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37</v>
      </c>
      <c r="C1019" t="s">
        <v>39</v>
      </c>
      <c r="D1019" s="3">
        <v>30000</v>
      </c>
      <c r="E1019">
        <v>1</v>
      </c>
      <c r="F1019" t="s">
        <v>13</v>
      </c>
      <c r="G1019" t="s">
        <v>20</v>
      </c>
      <c r="H1019" t="s">
        <v>15</v>
      </c>
      <c r="I1019">
        <v>0</v>
      </c>
      <c r="J1019" t="s">
        <v>16</v>
      </c>
      <c r="K1019" t="s">
        <v>17</v>
      </c>
      <c r="L1019">
        <v>63</v>
      </c>
      <c r="M1019" t="str">
        <f t="shared" si="15"/>
        <v>Middle Age</v>
      </c>
      <c r="N1019" t="s">
        <v>18</v>
      </c>
    </row>
    <row r="1020" spans="1:14" x14ac:dyDescent="0.25">
      <c r="A1020">
        <v>17841</v>
      </c>
      <c r="B1020" t="s">
        <v>37</v>
      </c>
      <c r="C1020" t="s">
        <v>39</v>
      </c>
      <c r="D1020" s="3">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37</v>
      </c>
      <c r="C1021" t="s">
        <v>38</v>
      </c>
      <c r="D1021" s="3">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36</v>
      </c>
      <c r="C1022" t="s">
        <v>39</v>
      </c>
      <c r="D1022" s="3">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37</v>
      </c>
      <c r="C1023" t="s">
        <v>38</v>
      </c>
      <c r="D1023" s="3">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36</v>
      </c>
      <c r="C1024" t="s">
        <v>38</v>
      </c>
      <c r="D1024" s="3">
        <v>20000</v>
      </c>
      <c r="E1024">
        <v>2</v>
      </c>
      <c r="F1024" t="s">
        <v>19</v>
      </c>
      <c r="G1024" t="s">
        <v>25</v>
      </c>
      <c r="H1024" t="s">
        <v>15</v>
      </c>
      <c r="I1024">
        <v>0</v>
      </c>
      <c r="J1024" t="s">
        <v>16</v>
      </c>
      <c r="K1024" t="s">
        <v>17</v>
      </c>
      <c r="L1024">
        <v>63</v>
      </c>
      <c r="M1024" t="str">
        <f t="shared" si="15"/>
        <v>Middle Age</v>
      </c>
      <c r="N1024" t="s">
        <v>18</v>
      </c>
    </row>
    <row r="1025" spans="1:14" x14ac:dyDescent="0.25">
      <c r="A1025">
        <v>22400</v>
      </c>
      <c r="B1025" t="s">
        <v>36</v>
      </c>
      <c r="C1025" t="s">
        <v>39</v>
      </c>
      <c r="D1025" s="3">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37</v>
      </c>
      <c r="C1026" t="s">
        <v>38</v>
      </c>
      <c r="D1026" s="3">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37</v>
      </c>
      <c r="C1027" t="s">
        <v>39</v>
      </c>
      <c r="D1027" s="3">
        <v>80000</v>
      </c>
      <c r="E1027">
        <v>2</v>
      </c>
      <c r="F1027" t="s">
        <v>27</v>
      </c>
      <c r="G1027" t="s">
        <v>14</v>
      </c>
      <c r="H1027" t="s">
        <v>18</v>
      </c>
      <c r="I1027">
        <v>2</v>
      </c>
      <c r="J1027" t="s">
        <v>26</v>
      </c>
      <c r="K1027" t="s">
        <v>24</v>
      </c>
      <c r="L1027">
        <v>50</v>
      </c>
      <c r="M1027" t="str">
        <f>IF(L1040&gt;54,"Old",IF(L1027&gt;=31,"Middle Age",IF(L1027&lt;31,"Adolescent","Invalid")))</f>
        <v>Middle Age</v>
      </c>
      <c r="N1027" t="s">
        <v>15</v>
      </c>
    </row>
  </sheetData>
  <autoFilter ref="A1:N1027" xr:uid="{E867CDF9-12A1-4921-B580-537C8B5EEB8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F5E5-63AE-4D1F-A7D7-4CB732C290F3}">
  <dimension ref="A1:D118"/>
  <sheetViews>
    <sheetView topLeftCell="A49" workbookViewId="0">
      <selection activeCell="D25" sqref="D25"/>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5" t="s">
        <v>43</v>
      </c>
      <c r="B1" s="5" t="s">
        <v>44</v>
      </c>
    </row>
    <row r="2" spans="1:4" x14ac:dyDescent="0.25">
      <c r="A2" s="5" t="s">
        <v>41</v>
      </c>
      <c r="B2" t="s">
        <v>18</v>
      </c>
      <c r="C2" t="s">
        <v>15</v>
      </c>
      <c r="D2" t="s">
        <v>42</v>
      </c>
    </row>
    <row r="3" spans="1:4" x14ac:dyDescent="0.25">
      <c r="A3" s="6" t="s">
        <v>38</v>
      </c>
      <c r="B3" s="7">
        <v>53449.612403100778</v>
      </c>
      <c r="C3" s="7">
        <v>55267.489711934155</v>
      </c>
      <c r="D3" s="7">
        <v>54331.337325349305</v>
      </c>
    </row>
    <row r="4" spans="1:4" x14ac:dyDescent="0.25">
      <c r="A4" s="6" t="s">
        <v>39</v>
      </c>
      <c r="B4" s="7">
        <v>56520.146520146518</v>
      </c>
      <c r="C4" s="7">
        <v>59603.174603174601</v>
      </c>
      <c r="D4" s="7">
        <v>58000</v>
      </c>
    </row>
    <row r="5" spans="1:4" x14ac:dyDescent="0.25">
      <c r="A5" s="6" t="s">
        <v>42</v>
      </c>
      <c r="B5" s="7">
        <v>55028.248587570619</v>
      </c>
      <c r="C5" s="7">
        <v>57474.747474747477</v>
      </c>
      <c r="D5" s="7">
        <v>56208.576998050681</v>
      </c>
    </row>
    <row r="22" spans="1:4" x14ac:dyDescent="0.25">
      <c r="A22" s="5" t="s">
        <v>45</v>
      </c>
      <c r="B22" s="5" t="s">
        <v>44</v>
      </c>
    </row>
    <row r="23" spans="1:4" x14ac:dyDescent="0.25">
      <c r="A23" s="5" t="s">
        <v>41</v>
      </c>
      <c r="B23" t="s">
        <v>18</v>
      </c>
      <c r="C23" t="s">
        <v>15</v>
      </c>
      <c r="D23" t="s">
        <v>42</v>
      </c>
    </row>
    <row r="24" spans="1:4" x14ac:dyDescent="0.25">
      <c r="A24" s="6" t="s">
        <v>16</v>
      </c>
      <c r="B24" s="4">
        <v>171</v>
      </c>
      <c r="C24" s="4">
        <v>207</v>
      </c>
      <c r="D24" s="4">
        <v>378</v>
      </c>
    </row>
    <row r="25" spans="1:4" x14ac:dyDescent="0.25">
      <c r="A25" s="6" t="s">
        <v>26</v>
      </c>
      <c r="B25" s="4">
        <v>93</v>
      </c>
      <c r="C25" s="4">
        <v>83</v>
      </c>
      <c r="D25" s="4">
        <v>176</v>
      </c>
    </row>
    <row r="26" spans="1:4" x14ac:dyDescent="0.25">
      <c r="A26" s="6" t="s">
        <v>22</v>
      </c>
      <c r="B26" s="4">
        <v>67</v>
      </c>
      <c r="C26" s="4">
        <v>95</v>
      </c>
      <c r="D26" s="4">
        <v>162</v>
      </c>
    </row>
    <row r="27" spans="1:4" x14ac:dyDescent="0.25">
      <c r="A27" s="6" t="s">
        <v>23</v>
      </c>
      <c r="B27" s="4">
        <v>120</v>
      </c>
      <c r="C27" s="4">
        <v>77</v>
      </c>
      <c r="D27" s="4">
        <v>197</v>
      </c>
    </row>
    <row r="28" spans="1:4" x14ac:dyDescent="0.25">
      <c r="A28" s="6" t="s">
        <v>46</v>
      </c>
      <c r="B28" s="4">
        <v>80</v>
      </c>
      <c r="C28" s="4">
        <v>33</v>
      </c>
      <c r="D28" s="4">
        <v>113</v>
      </c>
    </row>
    <row r="29" spans="1:4" x14ac:dyDescent="0.25">
      <c r="A29" s="6" t="s">
        <v>42</v>
      </c>
      <c r="B29" s="4">
        <v>531</v>
      </c>
      <c r="C29" s="4">
        <v>495</v>
      </c>
      <c r="D29" s="4">
        <v>1026</v>
      </c>
    </row>
    <row r="43" spans="1:4" x14ac:dyDescent="0.25">
      <c r="A43" s="5" t="s">
        <v>45</v>
      </c>
      <c r="B43" s="5" t="s">
        <v>44</v>
      </c>
    </row>
    <row r="44" spans="1:4" x14ac:dyDescent="0.25">
      <c r="A44" s="5" t="s">
        <v>41</v>
      </c>
      <c r="B44" t="s">
        <v>18</v>
      </c>
      <c r="C44" t="s">
        <v>15</v>
      </c>
      <c r="D44" t="s">
        <v>42</v>
      </c>
    </row>
    <row r="45" spans="1:4" x14ac:dyDescent="0.25">
      <c r="A45" s="6" t="s">
        <v>47</v>
      </c>
      <c r="B45" s="4">
        <v>54</v>
      </c>
      <c r="C45" s="4">
        <v>36</v>
      </c>
      <c r="D45" s="4">
        <v>90</v>
      </c>
    </row>
    <row r="46" spans="1:4" x14ac:dyDescent="0.25">
      <c r="A46" s="6" t="s">
        <v>48</v>
      </c>
      <c r="B46" s="4">
        <v>370</v>
      </c>
      <c r="C46" s="4">
        <v>374</v>
      </c>
      <c r="D46" s="4">
        <v>744</v>
      </c>
    </row>
    <row r="47" spans="1:4" x14ac:dyDescent="0.25">
      <c r="A47" s="6" t="s">
        <v>49</v>
      </c>
      <c r="B47" s="4">
        <v>107</v>
      </c>
      <c r="C47" s="4">
        <v>85</v>
      </c>
      <c r="D47" s="4">
        <v>192</v>
      </c>
    </row>
    <row r="48" spans="1:4" x14ac:dyDescent="0.25">
      <c r="A48" s="6" t="s">
        <v>42</v>
      </c>
      <c r="B48" s="4">
        <v>531</v>
      </c>
      <c r="C48" s="4">
        <v>495</v>
      </c>
      <c r="D48" s="4">
        <v>1026</v>
      </c>
    </row>
    <row r="63" spans="1:4" x14ac:dyDescent="0.25">
      <c r="A63" s="5" t="s">
        <v>45</v>
      </c>
      <c r="B63" s="5" t="s">
        <v>44</v>
      </c>
    </row>
    <row r="64" spans="1:4" x14ac:dyDescent="0.25">
      <c r="A64" s="5" t="s">
        <v>41</v>
      </c>
      <c r="B64" t="s">
        <v>18</v>
      </c>
      <c r="C64" t="s">
        <v>15</v>
      </c>
      <c r="D64" t="s">
        <v>42</v>
      </c>
    </row>
    <row r="65" spans="1:4" x14ac:dyDescent="0.25">
      <c r="A65" s="6">
        <v>25</v>
      </c>
      <c r="B65" s="4">
        <v>2</v>
      </c>
      <c r="C65" s="4">
        <v>4</v>
      </c>
      <c r="D65" s="4">
        <v>6</v>
      </c>
    </row>
    <row r="66" spans="1:4" x14ac:dyDescent="0.25">
      <c r="A66" s="6">
        <v>26</v>
      </c>
      <c r="B66" s="4">
        <v>8</v>
      </c>
      <c r="C66" s="4">
        <v>9</v>
      </c>
      <c r="D66" s="4">
        <v>17</v>
      </c>
    </row>
    <row r="67" spans="1:4" x14ac:dyDescent="0.25">
      <c r="A67" s="6">
        <v>27</v>
      </c>
      <c r="B67" s="4">
        <v>15</v>
      </c>
      <c r="C67" s="4">
        <v>8</v>
      </c>
      <c r="D67" s="4">
        <v>23</v>
      </c>
    </row>
    <row r="68" spans="1:4" x14ac:dyDescent="0.25">
      <c r="A68" s="6">
        <v>28</v>
      </c>
      <c r="B68" s="4">
        <v>12</v>
      </c>
      <c r="C68" s="4">
        <v>10</v>
      </c>
      <c r="D68" s="4">
        <v>22</v>
      </c>
    </row>
    <row r="69" spans="1:4" x14ac:dyDescent="0.25">
      <c r="A69" s="6">
        <v>29</v>
      </c>
      <c r="B69" s="4">
        <v>11</v>
      </c>
      <c r="C69" s="4">
        <v>6</v>
      </c>
      <c r="D69" s="4">
        <v>17</v>
      </c>
    </row>
    <row r="70" spans="1:4" x14ac:dyDescent="0.25">
      <c r="A70" s="6">
        <v>30</v>
      </c>
      <c r="B70" s="4">
        <v>23</v>
      </c>
      <c r="C70" s="4">
        <v>4</v>
      </c>
      <c r="D70" s="4">
        <v>27</v>
      </c>
    </row>
    <row r="71" spans="1:4" x14ac:dyDescent="0.25">
      <c r="A71" s="6">
        <v>31</v>
      </c>
      <c r="B71" s="4">
        <v>18</v>
      </c>
      <c r="C71" s="4">
        <v>8</v>
      </c>
      <c r="D71" s="4">
        <v>26</v>
      </c>
    </row>
    <row r="72" spans="1:4" x14ac:dyDescent="0.25">
      <c r="A72" s="6">
        <v>32</v>
      </c>
      <c r="B72" s="4">
        <v>19</v>
      </c>
      <c r="C72" s="4">
        <v>15</v>
      </c>
      <c r="D72" s="4">
        <v>34</v>
      </c>
    </row>
    <row r="73" spans="1:4" x14ac:dyDescent="0.25">
      <c r="A73" s="6">
        <v>33</v>
      </c>
      <c r="B73" s="4">
        <v>8</v>
      </c>
      <c r="C73" s="4">
        <v>13</v>
      </c>
      <c r="D73" s="4">
        <v>21</v>
      </c>
    </row>
    <row r="74" spans="1:4" x14ac:dyDescent="0.25">
      <c r="A74" s="6">
        <v>34</v>
      </c>
      <c r="B74" s="4">
        <v>13</v>
      </c>
      <c r="C74" s="4">
        <v>19</v>
      </c>
      <c r="D74" s="4">
        <v>32</v>
      </c>
    </row>
    <row r="75" spans="1:4" x14ac:dyDescent="0.25">
      <c r="A75" s="6">
        <v>35</v>
      </c>
      <c r="B75" s="4">
        <v>15</v>
      </c>
      <c r="C75" s="4">
        <v>25</v>
      </c>
      <c r="D75" s="4">
        <v>40</v>
      </c>
    </row>
    <row r="76" spans="1:4" x14ac:dyDescent="0.25">
      <c r="A76" s="6">
        <v>36</v>
      </c>
      <c r="B76" s="4">
        <v>8</v>
      </c>
      <c r="C76" s="4">
        <v>31</v>
      </c>
      <c r="D76" s="4">
        <v>39</v>
      </c>
    </row>
    <row r="77" spans="1:4" x14ac:dyDescent="0.25">
      <c r="A77" s="6">
        <v>37</v>
      </c>
      <c r="B77" s="4">
        <v>4</v>
      </c>
      <c r="C77" s="4">
        <v>28</v>
      </c>
      <c r="D77" s="4">
        <v>32</v>
      </c>
    </row>
    <row r="78" spans="1:4" x14ac:dyDescent="0.25">
      <c r="A78" s="6">
        <v>38</v>
      </c>
      <c r="B78" s="4">
        <v>8</v>
      </c>
      <c r="C78" s="4">
        <v>30</v>
      </c>
      <c r="D78" s="4">
        <v>38</v>
      </c>
    </row>
    <row r="79" spans="1:4" x14ac:dyDescent="0.25">
      <c r="A79" s="6">
        <v>39</v>
      </c>
      <c r="B79" s="4">
        <v>10</v>
      </c>
      <c r="C79" s="4">
        <v>12</v>
      </c>
      <c r="D79" s="4">
        <v>22</v>
      </c>
    </row>
    <row r="80" spans="1:4" x14ac:dyDescent="0.25">
      <c r="A80" s="6">
        <v>40</v>
      </c>
      <c r="B80" s="4">
        <v>25</v>
      </c>
      <c r="C80" s="4">
        <v>19</v>
      </c>
      <c r="D80" s="4">
        <v>44</v>
      </c>
    </row>
    <row r="81" spans="1:4" x14ac:dyDescent="0.25">
      <c r="A81" s="6">
        <v>41</v>
      </c>
      <c r="B81" s="4">
        <v>13</v>
      </c>
      <c r="C81" s="4">
        <v>15</v>
      </c>
      <c r="D81" s="4">
        <v>28</v>
      </c>
    </row>
    <row r="82" spans="1:4" x14ac:dyDescent="0.25">
      <c r="A82" s="6">
        <v>42</v>
      </c>
      <c r="B82" s="4">
        <v>22</v>
      </c>
      <c r="C82" s="4">
        <v>12</v>
      </c>
      <c r="D82" s="4">
        <v>34</v>
      </c>
    </row>
    <row r="83" spans="1:4" x14ac:dyDescent="0.25">
      <c r="A83" s="6">
        <v>43</v>
      </c>
      <c r="B83" s="4">
        <v>17</v>
      </c>
      <c r="C83" s="4">
        <v>19</v>
      </c>
      <c r="D83" s="4">
        <v>36</v>
      </c>
    </row>
    <row r="84" spans="1:4" x14ac:dyDescent="0.25">
      <c r="A84" s="6">
        <v>44</v>
      </c>
      <c r="B84" s="4">
        <v>16</v>
      </c>
      <c r="C84" s="4">
        <v>12</v>
      </c>
      <c r="D84" s="4">
        <v>28</v>
      </c>
    </row>
    <row r="85" spans="1:4" x14ac:dyDescent="0.25">
      <c r="A85" s="6">
        <v>45</v>
      </c>
      <c r="B85" s="4">
        <v>18</v>
      </c>
      <c r="C85" s="4">
        <v>14</v>
      </c>
      <c r="D85" s="4">
        <v>32</v>
      </c>
    </row>
    <row r="86" spans="1:4" x14ac:dyDescent="0.25">
      <c r="A86" s="6">
        <v>46</v>
      </c>
      <c r="B86" s="4">
        <v>12</v>
      </c>
      <c r="C86" s="4">
        <v>15</v>
      </c>
      <c r="D86" s="4">
        <v>27</v>
      </c>
    </row>
    <row r="87" spans="1:4" x14ac:dyDescent="0.25">
      <c r="A87" s="6">
        <v>47</v>
      </c>
      <c r="B87" s="4">
        <v>20</v>
      </c>
      <c r="C87" s="4">
        <v>20</v>
      </c>
      <c r="D87" s="4">
        <v>40</v>
      </c>
    </row>
    <row r="88" spans="1:4" x14ac:dyDescent="0.25">
      <c r="A88" s="6">
        <v>48</v>
      </c>
      <c r="B88" s="4">
        <v>16</v>
      </c>
      <c r="C88" s="4">
        <v>13</v>
      </c>
      <c r="D88" s="4">
        <v>29</v>
      </c>
    </row>
    <row r="89" spans="1:4" x14ac:dyDescent="0.25">
      <c r="A89" s="6">
        <v>49</v>
      </c>
      <c r="B89" s="4">
        <v>15</v>
      </c>
      <c r="C89" s="4">
        <v>8</v>
      </c>
      <c r="D89" s="4">
        <v>23</v>
      </c>
    </row>
    <row r="90" spans="1:4" x14ac:dyDescent="0.25">
      <c r="A90" s="6">
        <v>50</v>
      </c>
      <c r="B90" s="4">
        <v>13</v>
      </c>
      <c r="C90" s="4">
        <v>13</v>
      </c>
      <c r="D90" s="4">
        <v>26</v>
      </c>
    </row>
    <row r="91" spans="1:4" x14ac:dyDescent="0.25">
      <c r="A91" s="6">
        <v>51</v>
      </c>
      <c r="B91" s="4">
        <v>10</v>
      </c>
      <c r="C91" s="4">
        <v>12</v>
      </c>
      <c r="D91" s="4">
        <v>22</v>
      </c>
    </row>
    <row r="92" spans="1:4" x14ac:dyDescent="0.25">
      <c r="A92" s="6">
        <v>52</v>
      </c>
      <c r="B92" s="4">
        <v>10</v>
      </c>
      <c r="C92" s="4">
        <v>15</v>
      </c>
      <c r="D92" s="4">
        <v>25</v>
      </c>
    </row>
    <row r="93" spans="1:4" x14ac:dyDescent="0.25">
      <c r="A93" s="6">
        <v>53</v>
      </c>
      <c r="B93" s="4">
        <v>11</v>
      </c>
      <c r="C93" s="4">
        <v>13</v>
      </c>
      <c r="D93" s="4">
        <v>24</v>
      </c>
    </row>
    <row r="94" spans="1:4" x14ac:dyDescent="0.25">
      <c r="A94" s="6">
        <v>54</v>
      </c>
      <c r="B94" s="4">
        <v>5</v>
      </c>
      <c r="C94" s="4">
        <v>12</v>
      </c>
      <c r="D94" s="4">
        <v>17</v>
      </c>
    </row>
    <row r="95" spans="1:4" x14ac:dyDescent="0.25">
      <c r="A95" s="6">
        <v>55</v>
      </c>
      <c r="B95" s="4">
        <v>14</v>
      </c>
      <c r="C95" s="4">
        <v>6</v>
      </c>
      <c r="D95" s="4">
        <v>20</v>
      </c>
    </row>
    <row r="96" spans="1:4" x14ac:dyDescent="0.25">
      <c r="A96" s="6">
        <v>56</v>
      </c>
      <c r="B96" s="4">
        <v>14</v>
      </c>
      <c r="C96" s="4">
        <v>3</v>
      </c>
      <c r="D96" s="4">
        <v>17</v>
      </c>
    </row>
    <row r="97" spans="1:4" x14ac:dyDescent="0.25">
      <c r="A97" s="6">
        <v>57</v>
      </c>
      <c r="B97" s="4">
        <v>4</v>
      </c>
      <c r="C97" s="4">
        <v>4</v>
      </c>
      <c r="D97" s="4">
        <v>8</v>
      </c>
    </row>
    <row r="98" spans="1:4" x14ac:dyDescent="0.25">
      <c r="A98" s="6">
        <v>58</v>
      </c>
      <c r="B98" s="4">
        <v>8</v>
      </c>
      <c r="C98" s="4">
        <v>4</v>
      </c>
      <c r="D98" s="4">
        <v>12</v>
      </c>
    </row>
    <row r="99" spans="1:4" x14ac:dyDescent="0.25">
      <c r="A99" s="6">
        <v>59</v>
      </c>
      <c r="B99" s="4">
        <v>14</v>
      </c>
      <c r="C99" s="4">
        <v>7</v>
      </c>
      <c r="D99" s="4">
        <v>21</v>
      </c>
    </row>
    <row r="100" spans="1:4" x14ac:dyDescent="0.25">
      <c r="A100" s="6">
        <v>60</v>
      </c>
      <c r="B100" s="4">
        <v>8</v>
      </c>
      <c r="C100" s="4">
        <v>7</v>
      </c>
      <c r="D100" s="4">
        <v>15</v>
      </c>
    </row>
    <row r="101" spans="1:4" x14ac:dyDescent="0.25">
      <c r="A101" s="6">
        <v>61</v>
      </c>
      <c r="B101" s="4">
        <v>5</v>
      </c>
      <c r="C101" s="4">
        <v>4</v>
      </c>
      <c r="D101" s="4">
        <v>9</v>
      </c>
    </row>
    <row r="102" spans="1:4" x14ac:dyDescent="0.25">
      <c r="A102" s="6">
        <v>62</v>
      </c>
      <c r="B102" s="4">
        <v>9</v>
      </c>
      <c r="C102" s="4">
        <v>4</v>
      </c>
      <c r="D102" s="4">
        <v>13</v>
      </c>
    </row>
    <row r="103" spans="1:4" x14ac:dyDescent="0.25">
      <c r="A103" s="6">
        <v>63</v>
      </c>
      <c r="B103" s="4">
        <v>9</v>
      </c>
      <c r="C103" s="4">
        <v>2</v>
      </c>
      <c r="D103" s="4">
        <v>11</v>
      </c>
    </row>
    <row r="104" spans="1:4" x14ac:dyDescent="0.25">
      <c r="A104" s="6">
        <v>64</v>
      </c>
      <c r="B104" s="4">
        <v>7</v>
      </c>
      <c r="C104" s="4">
        <v>3</v>
      </c>
      <c r="D104" s="4">
        <v>10</v>
      </c>
    </row>
    <row r="105" spans="1:4" x14ac:dyDescent="0.25">
      <c r="A105" s="6">
        <v>65</v>
      </c>
      <c r="B105" s="4">
        <v>6</v>
      </c>
      <c r="C105" s="4">
        <v>3</v>
      </c>
      <c r="D105" s="4">
        <v>9</v>
      </c>
    </row>
    <row r="106" spans="1:4" x14ac:dyDescent="0.25">
      <c r="A106" s="6">
        <v>66</v>
      </c>
      <c r="B106" s="4">
        <v>8</v>
      </c>
      <c r="C106" s="4">
        <v>6</v>
      </c>
      <c r="D106" s="4">
        <v>14</v>
      </c>
    </row>
    <row r="107" spans="1:4" x14ac:dyDescent="0.25">
      <c r="A107" s="6">
        <v>67</v>
      </c>
      <c r="B107" s="4">
        <v>8</v>
      </c>
      <c r="C107" s="4">
        <v>2</v>
      </c>
      <c r="D107" s="4">
        <v>10</v>
      </c>
    </row>
    <row r="108" spans="1:4" x14ac:dyDescent="0.25">
      <c r="A108" s="6">
        <v>68</v>
      </c>
      <c r="B108" s="4">
        <v>3</v>
      </c>
      <c r="C108" s="4"/>
      <c r="D108" s="4">
        <v>3</v>
      </c>
    </row>
    <row r="109" spans="1:4" x14ac:dyDescent="0.25">
      <c r="A109" s="6">
        <v>69</v>
      </c>
      <c r="B109" s="4">
        <v>8</v>
      </c>
      <c r="C109" s="4"/>
      <c r="D109" s="4">
        <v>8</v>
      </c>
    </row>
    <row r="110" spans="1:4" x14ac:dyDescent="0.25">
      <c r="A110" s="6">
        <v>70</v>
      </c>
      <c r="B110" s="4">
        <v>3</v>
      </c>
      <c r="C110" s="4">
        <v>1</v>
      </c>
      <c r="D110" s="4">
        <v>4</v>
      </c>
    </row>
    <row r="111" spans="1:4" x14ac:dyDescent="0.25">
      <c r="A111" s="6">
        <v>71</v>
      </c>
      <c r="B111" s="4">
        <v>1</v>
      </c>
      <c r="C111" s="4"/>
      <c r="D111" s="4">
        <v>1</v>
      </c>
    </row>
    <row r="112" spans="1:4" x14ac:dyDescent="0.25">
      <c r="A112" s="6">
        <v>72</v>
      </c>
      <c r="B112" s="4"/>
      <c r="C112" s="4">
        <v>1</v>
      </c>
      <c r="D112" s="4">
        <v>1</v>
      </c>
    </row>
    <row r="113" spans="1:4" x14ac:dyDescent="0.25">
      <c r="A113" s="6">
        <v>73</v>
      </c>
      <c r="B113" s="4">
        <v>2</v>
      </c>
      <c r="C113" s="4">
        <v>2</v>
      </c>
      <c r="D113" s="4">
        <v>4</v>
      </c>
    </row>
    <row r="114" spans="1:4" x14ac:dyDescent="0.25">
      <c r="A114" s="6">
        <v>74</v>
      </c>
      <c r="B114" s="4"/>
      <c r="C114" s="4">
        <v>1</v>
      </c>
      <c r="D114" s="4">
        <v>1</v>
      </c>
    </row>
    <row r="115" spans="1:4" x14ac:dyDescent="0.25">
      <c r="A115" s="6">
        <v>78</v>
      </c>
      <c r="B115" s="4">
        <v>1</v>
      </c>
      <c r="C115" s="4">
        <v>1</v>
      </c>
      <c r="D115" s="4">
        <v>2</v>
      </c>
    </row>
    <row r="116" spans="1:4" x14ac:dyDescent="0.25">
      <c r="A116" s="6">
        <v>80</v>
      </c>
      <c r="B116" s="4">
        <v>1</v>
      </c>
      <c r="C116" s="4"/>
      <c r="D116" s="4">
        <v>1</v>
      </c>
    </row>
    <row r="117" spans="1:4" x14ac:dyDescent="0.25">
      <c r="A117" s="6">
        <v>89</v>
      </c>
      <c r="B117" s="4">
        <v>1</v>
      </c>
      <c r="C117" s="4"/>
      <c r="D117" s="4">
        <v>1</v>
      </c>
    </row>
    <row r="118" spans="1:4" x14ac:dyDescent="0.25">
      <c r="A118" s="6" t="s">
        <v>42</v>
      </c>
      <c r="B118" s="4">
        <v>531</v>
      </c>
      <c r="C118" s="4">
        <v>495</v>
      </c>
      <c r="D118" s="4">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6E594-3AFC-430B-BB05-81A1F694ED78}">
  <dimension ref="A1:Q6"/>
  <sheetViews>
    <sheetView showGridLines="0" tabSelected="1" workbookViewId="0">
      <selection activeCell="W17" sqref="W17"/>
    </sheetView>
  </sheetViews>
  <sheetFormatPr defaultRowHeight="15" x14ac:dyDescent="0.25"/>
  <sheetData>
    <row r="1" spans="1:17" x14ac:dyDescent="0.25">
      <c r="A1" s="8" t="s">
        <v>50</v>
      </c>
      <c r="B1" s="8"/>
      <c r="C1" s="8"/>
      <c r="D1" s="8"/>
      <c r="E1" s="8"/>
      <c r="F1" s="8"/>
      <c r="G1" s="8"/>
      <c r="H1" s="8"/>
      <c r="I1" s="8"/>
      <c r="J1" s="8"/>
      <c r="K1" s="8"/>
      <c r="L1" s="8"/>
      <c r="M1" s="8"/>
      <c r="N1" s="8"/>
      <c r="O1" s="8"/>
      <c r="P1" s="8"/>
      <c r="Q1" s="8"/>
    </row>
    <row r="2" spans="1:17" x14ac:dyDescent="0.25">
      <c r="A2" s="8"/>
      <c r="B2" s="8"/>
      <c r="C2" s="8"/>
      <c r="D2" s="8"/>
      <c r="E2" s="8"/>
      <c r="F2" s="8"/>
      <c r="G2" s="8"/>
      <c r="H2" s="8"/>
      <c r="I2" s="8"/>
      <c r="J2" s="8"/>
      <c r="K2" s="8"/>
      <c r="L2" s="8"/>
      <c r="M2" s="8"/>
      <c r="N2" s="8"/>
      <c r="O2" s="8"/>
      <c r="P2" s="8"/>
      <c r="Q2" s="8"/>
    </row>
    <row r="3" spans="1:17" x14ac:dyDescent="0.25">
      <c r="A3" s="8"/>
      <c r="B3" s="8"/>
      <c r="C3" s="8"/>
      <c r="D3" s="8"/>
      <c r="E3" s="8"/>
      <c r="F3" s="8"/>
      <c r="G3" s="8"/>
      <c r="H3" s="8"/>
      <c r="I3" s="8"/>
      <c r="J3" s="8"/>
      <c r="K3" s="8"/>
      <c r="L3" s="8"/>
      <c r="M3" s="8"/>
      <c r="N3" s="8"/>
      <c r="O3" s="8"/>
      <c r="P3" s="8"/>
      <c r="Q3" s="8"/>
    </row>
    <row r="4" spans="1:17" x14ac:dyDescent="0.25">
      <c r="A4" s="8"/>
      <c r="B4" s="8"/>
      <c r="C4" s="8"/>
      <c r="D4" s="8"/>
      <c r="E4" s="8"/>
      <c r="F4" s="8"/>
      <c r="G4" s="8"/>
      <c r="H4" s="8"/>
      <c r="I4" s="8"/>
      <c r="J4" s="8"/>
      <c r="K4" s="8"/>
      <c r="L4" s="8"/>
      <c r="M4" s="8"/>
      <c r="N4" s="8"/>
      <c r="O4" s="8"/>
      <c r="P4" s="8"/>
      <c r="Q4" s="8"/>
    </row>
    <row r="5" spans="1:17" x14ac:dyDescent="0.25">
      <c r="A5" s="8"/>
      <c r="B5" s="8"/>
      <c r="C5" s="8"/>
      <c r="D5" s="8"/>
      <c r="E5" s="8"/>
      <c r="F5" s="8"/>
      <c r="G5" s="8"/>
      <c r="H5" s="8"/>
      <c r="I5" s="8"/>
      <c r="J5" s="8"/>
      <c r="K5" s="8"/>
      <c r="L5" s="8"/>
      <c r="M5" s="8"/>
      <c r="N5" s="8"/>
      <c r="O5" s="8"/>
      <c r="P5" s="8"/>
      <c r="Q5" s="8"/>
    </row>
    <row r="6" spans="1:17" x14ac:dyDescent="0.25">
      <c r="A6" s="8"/>
      <c r="B6" s="8"/>
      <c r="C6" s="8"/>
      <c r="D6" s="8"/>
      <c r="E6" s="8"/>
      <c r="F6" s="8"/>
      <c r="G6" s="8"/>
      <c r="H6" s="8"/>
      <c r="I6" s="8"/>
      <c r="J6" s="8"/>
      <c r="K6" s="8"/>
      <c r="L6" s="8"/>
      <c r="M6" s="8"/>
      <c r="N6" s="8"/>
      <c r="O6" s="8"/>
      <c r="P6" s="8"/>
      <c r="Q6" s="8"/>
    </row>
  </sheetData>
  <mergeCells count="1">
    <mergeCell ref="A1:Q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MITHIL</dc:creator>
  <cp:lastModifiedBy>MITHIL</cp:lastModifiedBy>
  <dcterms:created xsi:type="dcterms:W3CDTF">2022-03-18T02:50:57Z</dcterms:created>
  <dcterms:modified xsi:type="dcterms:W3CDTF">2026-06-03T13:07:48Z</dcterms:modified>
</cp:coreProperties>
</file>